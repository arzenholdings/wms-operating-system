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mer" sheetId="1" r:id="rId5"/>
    <sheet state="visible" name="Plays" sheetId="2" r:id="rId6"/>
    <sheet state="visible" name="Gap Scoring" sheetId="3" r:id="rId7"/>
    <sheet state="visible" name="Custom Values" sheetId="4" r:id="rId8"/>
  </sheets>
  <definedNames/>
  <calcPr/>
</workbook>
</file>

<file path=xl/sharedStrings.xml><?xml version="1.0" encoding="utf-8"?>
<sst xmlns="http://schemas.openxmlformats.org/spreadsheetml/2006/main" count="4319" uniqueCount="122">
  <si>
    <t>Lifecycle Marketing Stage</t>
  </si>
  <si>
    <t>Tags</t>
  </si>
  <si>
    <t>Target</t>
  </si>
  <si>
    <t>Trigger</t>
  </si>
  <si>
    <t>T</t>
  </si>
  <si>
    <t>Start automations - always removed</t>
  </si>
  <si>
    <t>Attract</t>
  </si>
  <si>
    <t>Status</t>
  </si>
  <si>
    <t>S</t>
  </si>
  <si>
    <t>Where someone currently is in the journey - sometimes removed</t>
  </si>
  <si>
    <t>Capture</t>
  </si>
  <si>
    <t>Activity</t>
  </si>
  <si>
    <t>A</t>
  </si>
  <si>
    <t>What someone did - Behaviour tags - NEVER removed</t>
  </si>
  <si>
    <t>www.thebusinesscatalyst.co.uk</t>
  </si>
  <si>
    <t>Engage</t>
  </si>
  <si>
    <t>Profile</t>
  </si>
  <si>
    <t>P</t>
  </si>
  <si>
    <t>Who Someone Is</t>
  </si>
  <si>
    <t>Offer</t>
  </si>
  <si>
    <t>Close</t>
  </si>
  <si>
    <t>Delivery</t>
  </si>
  <si>
    <t>Impress</t>
  </si>
  <si>
    <t>Multiply</t>
  </si>
  <si>
    <t>Internal</t>
  </si>
  <si>
    <t>00</t>
  </si>
  <si>
    <t>Orange cels have formulas -DON'T DELETE THEM EVER</t>
  </si>
  <si>
    <t>Category</t>
  </si>
  <si>
    <t>ID</t>
  </si>
  <si>
    <t>Name</t>
  </si>
  <si>
    <t>Description</t>
  </si>
  <si>
    <t>Workflow Name</t>
  </si>
  <si>
    <t>Workflow</t>
  </si>
  <si>
    <t>Tag Category</t>
  </si>
  <si>
    <t>Tag Description</t>
  </si>
  <si>
    <t>Tag Action</t>
  </si>
  <si>
    <t>Tag Name</t>
  </si>
  <si>
    <t>Helper 1</t>
  </si>
  <si>
    <t>Helper 2</t>
  </si>
  <si>
    <t>New Enquiry</t>
  </si>
  <si>
    <t>Webform | Chatbot</t>
  </si>
  <si>
    <t>[30.01] New Enquiry - Webform | Chatbot</t>
  </si>
  <si>
    <t>start</t>
  </si>
  <si>
    <t>[40.01]</t>
  </si>
  <si>
    <t>Appointment</t>
  </si>
  <si>
    <t>Booked</t>
  </si>
  <si>
    <t>[40.01] Appointment - Booked</t>
  </si>
  <si>
    <t>needs.review</t>
  </si>
  <si>
    <t>[30.01]</t>
  </si>
  <si>
    <t>New.Enquiry.Webform.|.Chatbot</t>
  </si>
  <si>
    <t>[40.02]</t>
  </si>
  <si>
    <t>Contingency</t>
  </si>
  <si>
    <t>Emails</t>
  </si>
  <si>
    <t>[40.02] Contingency - Emails</t>
  </si>
  <si>
    <t>Appointment.Booked</t>
  </si>
  <si>
    <t>[40.03]</t>
  </si>
  <si>
    <t>Value</t>
  </si>
  <si>
    <t>Sequence</t>
  </si>
  <si>
    <t>[40.03] Value - Sequence</t>
  </si>
  <si>
    <t>Start</t>
  </si>
  <si>
    <t>Contingency.Emails</t>
  </si>
  <si>
    <t>[50.01]</t>
  </si>
  <si>
    <t>Proposal sent</t>
  </si>
  <si>
    <t>[50.01] Proposal sent</t>
  </si>
  <si>
    <t>Active</t>
  </si>
  <si>
    <t>[60.01]</t>
  </si>
  <si>
    <t>Purchase Actions</t>
  </si>
  <si>
    <t>[60.01] Purchase Actions</t>
  </si>
  <si>
    <t>Complete</t>
  </si>
  <si>
    <t>[70.01]</t>
  </si>
  <si>
    <t>Onboarding</t>
  </si>
  <si>
    <t>[70.01] Onboarding</t>
  </si>
  <si>
    <t>Value.Sequence</t>
  </si>
  <si>
    <t>[70.02]</t>
  </si>
  <si>
    <t>Document</t>
  </si>
  <si>
    <t>Signed</t>
  </si>
  <si>
    <t>[70.02] Document - Signed</t>
  </si>
  <si>
    <t>Sent</t>
  </si>
  <si>
    <t>#1</t>
  </si>
  <si>
    <t/>
  </si>
  <si>
    <t>#2</t>
  </si>
  <si>
    <t>#3</t>
  </si>
  <si>
    <t>#4</t>
  </si>
  <si>
    <t>#5</t>
  </si>
  <si>
    <t>#6</t>
  </si>
  <si>
    <t>#7</t>
  </si>
  <si>
    <t>#8</t>
  </si>
  <si>
    <t>Purchase.Actions</t>
  </si>
  <si>
    <t>Onboarded</t>
  </si>
  <si>
    <t>Document.Signed</t>
  </si>
  <si>
    <t>Desired Outcome</t>
  </si>
  <si>
    <t>Reporting</t>
  </si>
  <si>
    <t>Stage</t>
  </si>
  <si>
    <t>Workflow / Activity</t>
  </si>
  <si>
    <t>Finish</t>
  </si>
  <si>
    <t>Exit</t>
  </si>
  <si>
    <t>Requirements</t>
  </si>
  <si>
    <t>Copy / Creative</t>
  </si>
  <si>
    <t>Other Tech</t>
  </si>
  <si>
    <t>Post Launch Connections</t>
  </si>
  <si>
    <t>Gap 1</t>
  </si>
  <si>
    <t>Gap 2</t>
  </si>
  <si>
    <t>Gap 3</t>
  </si>
  <si>
    <t>ROI Prioritisation Matrix</t>
  </si>
  <si>
    <t>High Impact</t>
  </si>
  <si>
    <t xml:space="preserve">Time cost if left unfixed </t>
  </si>
  <si>
    <t>1 = minor | 2 = significant | 3 = critial</t>
  </si>
  <si>
    <t>Revenue cost per month</t>
  </si>
  <si>
    <t>1 = under 500 | 2 = 500 - 2000 | 3 = Over 2000</t>
  </si>
  <si>
    <t>Complexity to fix</t>
  </si>
  <si>
    <t>1 = Complex | 2 = moderate | 3=simple</t>
  </si>
  <si>
    <t>Speed to results</t>
  </si>
  <si>
    <t>1 = months  | 2 = weeks |3 = days</t>
  </si>
  <si>
    <t>9 or above</t>
  </si>
  <si>
    <t>Build first</t>
  </si>
  <si>
    <t>Low Impact</t>
  </si>
  <si>
    <t xml:space="preserve">6 - 8 </t>
  </si>
  <si>
    <t>Plan and sequqnce</t>
  </si>
  <si>
    <t>Low Complexity</t>
  </si>
  <si>
    <t>High Complexity</t>
  </si>
  <si>
    <t>Below 5</t>
  </si>
  <si>
    <t>Defer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</si>
</sst>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"/>
  </numFmts>
  <fonts count="10">
    <font>
      <sz val="10.0"/>
      <color rgb="FF000000"/>
      <name val="Arial"/>
      <scheme val="minor"/>
    </font>
    <font>
      <b/>
      <color theme="1"/>
      <name val="Inter"/>
    </font>
    <font/>
    <font>
      <color theme="1"/>
      <name val="Arial"/>
    </font>
    <font>
      <color theme="1"/>
      <name val="Inter"/>
    </font>
    <font>
      <color theme="1"/>
      <name val="Arial"/>
      <scheme val="minor"/>
    </font>
    <font>
      <u/>
      <color rgb="FF0000FF"/>
      <name val="Arial"/>
    </font>
    <font>
      <b/>
      <color rgb="FFFF0000"/>
      <name val="Inter"/>
    </font>
    <font>
      <sz val="12.0"/>
      <color theme="1"/>
      <name val="Arial"/>
      <scheme val="minor"/>
    </font>
    <font>
      <color rgb="FFFFFFFF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0" fillId="2" fontId="1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bottom"/>
    </xf>
    <xf borderId="0" fillId="3" fontId="3" numFmtId="0" xfId="0" applyAlignment="1" applyFill="1" applyFont="1">
      <alignment readingOrder="0" vertical="bottom"/>
    </xf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right" readingOrder="0" vertical="bottom"/>
    </xf>
    <xf borderId="4" fillId="4" fontId="4" numFmtId="0" xfId="0" applyAlignment="1" applyBorder="1" applyFill="1" applyFont="1">
      <alignment vertical="bottom"/>
    </xf>
    <xf borderId="5" fillId="4" fontId="4" numFmtId="164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6" fillId="0" fontId="3" numFmtId="0" xfId="0" applyAlignment="1" applyBorder="1" applyFont="1">
      <alignment horizontal="center" vertical="bottom"/>
    </xf>
    <xf borderId="7" fillId="0" fontId="4" numFmtId="0" xfId="0" applyAlignment="1" applyBorder="1" applyFont="1">
      <alignment horizontal="right" readingOrder="0" vertical="bottom"/>
    </xf>
    <xf borderId="8" fillId="4" fontId="4" numFmtId="0" xfId="0" applyAlignment="1" applyBorder="1" applyFont="1">
      <alignment vertical="bottom"/>
    </xf>
    <xf borderId="9" fillId="4" fontId="4" numFmtId="164" xfId="0" applyAlignment="1" applyBorder="1" applyFont="1" applyNumberFormat="1">
      <alignment horizontal="center" vertical="bottom"/>
    </xf>
    <xf borderId="0" fillId="0" fontId="6" numFmtId="0" xfId="0" applyAlignment="1" applyFont="1">
      <alignment readingOrder="0" vertical="bottom"/>
    </xf>
    <xf borderId="10" fillId="4" fontId="4" numFmtId="0" xfId="0" applyAlignment="1" applyBorder="1" applyFont="1">
      <alignment vertical="bottom"/>
    </xf>
    <xf borderId="11" fillId="4" fontId="4" numFmtId="164" xfId="0" applyAlignment="1" applyBorder="1" applyFont="1" applyNumberFormat="1">
      <alignment horizontal="center" vertical="bottom"/>
    </xf>
    <xf borderId="0" fillId="0" fontId="4" numFmtId="0" xfId="0" applyAlignment="1" applyFont="1">
      <alignment vertical="bottom"/>
    </xf>
    <xf borderId="0" fillId="5" fontId="3" numFmtId="0" xfId="0" applyAlignment="1" applyFill="1" applyFont="1">
      <alignment vertical="bottom"/>
    </xf>
    <xf borderId="12" fillId="0" fontId="3" numFmtId="0" xfId="0" applyAlignment="1" applyBorder="1" applyFont="1">
      <alignment horizontal="center" vertical="bottom"/>
    </xf>
    <xf quotePrefix="1" borderId="13" fillId="0" fontId="4" numFmtId="0" xfId="0" applyAlignment="1" applyBorder="1" applyFont="1">
      <alignment horizontal="right" readingOrder="0" vertical="bottom"/>
    </xf>
    <xf borderId="0" fillId="3" fontId="7" numFmtId="0" xfId="0" applyAlignment="1" applyFont="1">
      <alignment horizontal="center" readingOrder="0" vertical="bottom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3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5" fontId="5" numFmtId="0" xfId="0" applyFont="1"/>
    <xf borderId="0" fillId="0" fontId="5" numFmtId="0" xfId="0" applyFont="1"/>
    <xf borderId="0" fillId="3" fontId="5" numFmtId="0" xfId="0" applyFont="1"/>
    <xf borderId="7" fillId="0" fontId="3" numFmtId="0" xfId="0" applyAlignment="1" applyBorder="1" applyFont="1">
      <alignment shrinkToFit="0" vertical="center" wrapText="1"/>
    </xf>
    <xf borderId="14" fillId="0" fontId="1" numFmtId="0" xfId="0" applyAlignment="1" applyBorder="1" applyFont="1">
      <alignment horizontal="center" readingOrder="0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readingOrder="0" shrinkToFit="0" vertical="center" wrapText="1"/>
    </xf>
    <xf borderId="15" fillId="0" fontId="2" numFmtId="0" xfId="0" applyBorder="1" applyFont="1"/>
    <xf borderId="14" fillId="0" fontId="2" numFmtId="0" xfId="0" applyBorder="1" applyFont="1"/>
    <xf borderId="14" fillId="6" fontId="1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16" fillId="0" fontId="5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16" fillId="0" fontId="5" numFmtId="0" xfId="0" applyAlignment="1" applyBorder="1" applyFont="1">
      <alignment vertical="center"/>
    </xf>
    <xf borderId="0" fillId="6" fontId="5" numFmtId="0" xfId="0" applyAlignment="1" applyFont="1">
      <alignment horizontal="center" readingOrder="0" vertical="center"/>
    </xf>
    <xf borderId="0" fillId="7" fontId="5" numFmtId="0" xfId="0" applyAlignment="1" applyFill="1" applyFont="1">
      <alignment horizontal="center" readingOrder="0" vertical="center"/>
    </xf>
    <xf borderId="0" fillId="8" fontId="8" numFmtId="0" xfId="0" applyAlignment="1" applyFill="1" applyFont="1">
      <alignment readingOrder="0" vertical="center"/>
    </xf>
    <xf borderId="16" fillId="8" fontId="5" numFmtId="0" xfId="0" applyAlignment="1" applyBorder="1" applyFont="1">
      <alignment horizontal="center" readingOrder="0" vertical="center"/>
    </xf>
    <xf borderId="16" fillId="8" fontId="5" numFmtId="0" xfId="0" applyAlignment="1" applyBorder="1" applyFont="1">
      <alignment horizontal="center" vertical="center"/>
    </xf>
    <xf borderId="0" fillId="6" fontId="8" numFmtId="0" xfId="0" applyAlignment="1" applyFont="1">
      <alignment readingOrder="0" vertical="center"/>
    </xf>
    <xf borderId="16" fillId="6" fontId="5" numFmtId="0" xfId="0" applyAlignment="1" applyBorder="1" applyFont="1">
      <alignment horizontal="center" readingOrder="0" vertical="center"/>
    </xf>
    <xf borderId="16" fillId="6" fontId="5" numFmtId="0" xfId="0" applyAlignment="1" applyBorder="1" applyFont="1">
      <alignment horizontal="center" vertical="center"/>
    </xf>
    <xf borderId="0" fillId="9" fontId="8" numFmtId="0" xfId="0" applyAlignment="1" applyFill="1" applyFont="1">
      <alignment readingOrder="0" vertical="center"/>
    </xf>
    <xf borderId="16" fillId="9" fontId="5" numFmtId="0" xfId="0" applyAlignment="1" applyBorder="1" applyFont="1">
      <alignment horizontal="center" readingOrder="0" vertical="center"/>
    </xf>
    <xf borderId="16" fillId="9" fontId="5" numFmtId="0" xfId="0" applyAlignment="1" applyBorder="1" applyFont="1">
      <alignment horizontal="center" vertical="center"/>
    </xf>
    <xf borderId="0" fillId="10" fontId="8" numFmtId="0" xfId="0" applyAlignment="1" applyFill="1" applyFont="1">
      <alignment readingOrder="0" vertical="center"/>
    </xf>
    <xf borderId="16" fillId="10" fontId="5" numFmtId="0" xfId="0" applyAlignment="1" applyBorder="1" applyFont="1">
      <alignment horizontal="center" readingOrder="0" vertical="center"/>
    </xf>
    <xf borderId="16" fillId="10" fontId="5" numFmtId="0" xfId="0" applyAlignment="1" applyBorder="1" applyFont="1">
      <alignment horizontal="center" vertical="center"/>
    </xf>
    <xf borderId="0" fillId="9" fontId="5" numFmtId="0" xfId="0" applyAlignment="1" applyFont="1">
      <alignment horizontal="center" readingOrder="0" vertical="center"/>
    </xf>
    <xf borderId="0" fillId="11" fontId="5" numFmtId="0" xfId="0" applyAlignment="1" applyFill="1" applyFont="1">
      <alignment horizontal="center" vertical="center"/>
    </xf>
    <xf borderId="16" fillId="12" fontId="9" numFmtId="0" xfId="0" applyAlignment="1" applyBorder="1" applyFill="1" applyFont="1">
      <alignment horizontal="center" vertical="center"/>
    </xf>
    <xf borderId="0" fillId="13" fontId="5" numFmtId="0" xfId="0" applyAlignment="1" applyFill="1" applyFont="1">
      <alignment readingOrder="0" vertical="center"/>
    </xf>
    <xf borderId="0" fillId="8" fontId="5" numFmtId="0" xfId="0" applyAlignment="1" applyFont="1">
      <alignment readingOrder="0" vertical="center"/>
    </xf>
    <xf borderId="0" fillId="3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0</xdr:row>
      <xdr:rowOff>0</xdr:rowOff>
    </xdr:from>
    <xdr:ext cx="904875" cy="3238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15</xdr:row>
      <xdr:rowOff>0</xdr:rowOff>
    </xdr:from>
    <xdr:ext cx="4381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thebusinesscatalyst.co.uk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.0" topLeftCell="A13" activePane="bottomLeft" state="frozen"/>
      <selection activeCell="B14" sqref="B14" pane="bottomLeft"/>
    </sheetView>
  </sheetViews>
  <sheetFormatPr customHeight="1" defaultColWidth="12.63" defaultRowHeight="15.75"/>
  <cols>
    <col customWidth="1" min="1" max="1" width="16.13"/>
    <col customWidth="1" min="2" max="2" width="8.88"/>
    <col customWidth="1" min="3" max="3" width="15.0"/>
    <col customWidth="1" min="4" max="4" width="14.88"/>
    <col customWidth="1" min="5" max="5" width="31.25"/>
    <col customWidth="1" min="6" max="6" width="2.25"/>
    <col customWidth="1" min="7" max="7" width="23.25"/>
    <col customWidth="1" min="8" max="8" width="12.0"/>
    <col customWidth="1" min="9" max="9" width="11.0"/>
    <col customWidth="1" min="10" max="10" width="9.75"/>
    <col customWidth="1" min="11" max="11" width="30.63"/>
    <col customWidth="1" hidden="1" min="12" max="13" width="18.88"/>
  </cols>
  <sheetData>
    <row r="1" ht="25.5" customHeight="1">
      <c r="A1" s="1" t="s">
        <v>0</v>
      </c>
      <c r="B1" s="2"/>
      <c r="E1" s="3" t="s">
        <v>1</v>
      </c>
      <c r="G1" s="4"/>
      <c r="H1" s="4"/>
      <c r="I1" s="4"/>
      <c r="J1" s="4"/>
      <c r="K1" s="4"/>
      <c r="L1" s="5"/>
      <c r="M1" s="5"/>
      <c r="N1" s="4"/>
      <c r="Q1" s="6"/>
      <c r="R1" s="6"/>
      <c r="S1" s="6"/>
      <c r="T1" s="6"/>
    </row>
    <row r="2">
      <c r="A2" s="7" t="s">
        <v>2</v>
      </c>
      <c r="B2" s="8">
        <v>10.0</v>
      </c>
      <c r="E2" s="9" t="s">
        <v>3</v>
      </c>
      <c r="F2" s="10" t="s">
        <v>4</v>
      </c>
      <c r="G2" s="11" t="s">
        <v>5</v>
      </c>
      <c r="L2" s="12"/>
      <c r="M2" s="12"/>
      <c r="Q2" s="13"/>
      <c r="R2" s="13"/>
      <c r="S2" s="13"/>
      <c r="T2" s="13"/>
    </row>
    <row r="3">
      <c r="A3" s="14" t="s">
        <v>6</v>
      </c>
      <c r="B3" s="15">
        <v>20.0</v>
      </c>
      <c r="E3" s="16" t="s">
        <v>7</v>
      </c>
      <c r="F3" s="17" t="s">
        <v>8</v>
      </c>
      <c r="G3" s="11" t="s">
        <v>9</v>
      </c>
      <c r="L3" s="12"/>
      <c r="M3" s="12"/>
      <c r="Q3" s="13"/>
      <c r="R3" s="13"/>
      <c r="S3" s="13"/>
      <c r="T3" s="13"/>
    </row>
    <row r="4">
      <c r="A4" s="14" t="s">
        <v>10</v>
      </c>
      <c r="B4" s="15">
        <v>30.0</v>
      </c>
      <c r="E4" s="16" t="s">
        <v>11</v>
      </c>
      <c r="F4" s="17" t="s">
        <v>12</v>
      </c>
      <c r="G4" s="11" t="s">
        <v>13</v>
      </c>
      <c r="L4" s="12"/>
      <c r="M4" s="12"/>
      <c r="N4" s="18" t="s">
        <v>14</v>
      </c>
      <c r="O4" s="13"/>
      <c r="P4" s="13"/>
      <c r="Q4" s="13"/>
      <c r="R4" s="13"/>
      <c r="S4" s="13"/>
      <c r="T4" s="13"/>
    </row>
    <row r="5">
      <c r="A5" s="14" t="s">
        <v>15</v>
      </c>
      <c r="B5" s="15">
        <v>40.0</v>
      </c>
      <c r="E5" s="19" t="s">
        <v>16</v>
      </c>
      <c r="F5" s="20" t="s">
        <v>17</v>
      </c>
      <c r="G5" s="11" t="s">
        <v>18</v>
      </c>
      <c r="L5" s="12"/>
      <c r="M5" s="12"/>
      <c r="N5" s="13"/>
      <c r="O5" s="13"/>
      <c r="P5" s="13"/>
      <c r="Q5" s="13"/>
      <c r="R5" s="13"/>
      <c r="S5" s="13"/>
      <c r="T5" s="13"/>
      <c r="U5" s="13"/>
    </row>
    <row r="6">
      <c r="A6" s="14" t="s">
        <v>19</v>
      </c>
      <c r="B6" s="15">
        <v>50.0</v>
      </c>
      <c r="C6" s="13"/>
      <c r="D6" s="13"/>
      <c r="E6" s="21"/>
      <c r="F6" s="22"/>
      <c r="G6" s="4"/>
      <c r="L6" s="12"/>
      <c r="M6" s="12"/>
      <c r="N6" s="13"/>
      <c r="O6" s="13"/>
      <c r="P6" s="13"/>
      <c r="Q6" s="13"/>
      <c r="R6" s="13"/>
      <c r="S6" s="13"/>
      <c r="T6" s="13"/>
      <c r="U6" s="13"/>
    </row>
    <row r="7">
      <c r="A7" s="14" t="s">
        <v>20</v>
      </c>
      <c r="B7" s="15">
        <v>60.0</v>
      </c>
      <c r="C7" s="13"/>
      <c r="D7" s="13"/>
      <c r="E7" s="21"/>
      <c r="F7" s="22"/>
      <c r="G7" s="4"/>
      <c r="L7" s="12"/>
      <c r="M7" s="12"/>
      <c r="N7" s="13"/>
      <c r="O7" s="13"/>
      <c r="P7" s="13"/>
      <c r="Q7" s="13"/>
      <c r="R7" s="13"/>
      <c r="S7" s="13"/>
      <c r="T7" s="13"/>
      <c r="U7" s="13"/>
    </row>
    <row r="8">
      <c r="A8" s="14" t="s">
        <v>21</v>
      </c>
      <c r="B8" s="15">
        <v>70.0</v>
      </c>
      <c r="C8" s="13"/>
      <c r="D8" s="13"/>
      <c r="E8" s="21"/>
      <c r="F8" s="22"/>
      <c r="G8" s="4"/>
      <c r="L8" s="12"/>
      <c r="M8" s="12"/>
      <c r="N8" s="13"/>
      <c r="O8" s="13"/>
      <c r="P8" s="13"/>
      <c r="Q8" s="13"/>
      <c r="R8" s="13"/>
      <c r="S8" s="13"/>
      <c r="T8" s="13"/>
      <c r="U8" s="13"/>
    </row>
    <row r="9">
      <c r="A9" s="14" t="s">
        <v>22</v>
      </c>
      <c r="B9" s="15">
        <v>80.0</v>
      </c>
      <c r="C9" s="13"/>
      <c r="D9" s="13"/>
      <c r="E9" s="21"/>
      <c r="F9" s="22"/>
      <c r="G9" s="4"/>
      <c r="H9" s="4"/>
      <c r="I9" s="4"/>
      <c r="J9" s="4"/>
      <c r="K9" s="13"/>
      <c r="L9" s="12"/>
      <c r="M9" s="12"/>
      <c r="N9" s="13"/>
      <c r="O9" s="13"/>
      <c r="P9" s="13"/>
      <c r="Q9" s="13"/>
      <c r="R9" s="13"/>
      <c r="S9" s="13"/>
      <c r="T9" s="13"/>
      <c r="U9" s="13"/>
    </row>
    <row r="10">
      <c r="A10" s="14" t="s">
        <v>23</v>
      </c>
      <c r="B10" s="15">
        <v>90.0</v>
      </c>
      <c r="C10" s="13"/>
      <c r="D10" s="13"/>
      <c r="E10" s="21"/>
      <c r="F10" s="22"/>
      <c r="G10" s="4"/>
      <c r="H10" s="4"/>
      <c r="I10" s="4"/>
      <c r="J10" s="4"/>
      <c r="K10" s="13"/>
      <c r="L10" s="12"/>
      <c r="M10" s="12"/>
      <c r="N10" s="13"/>
      <c r="O10" s="13"/>
      <c r="P10" s="13"/>
      <c r="Q10" s="13"/>
      <c r="R10" s="13"/>
      <c r="S10" s="13"/>
      <c r="T10" s="13"/>
      <c r="U10" s="13"/>
    </row>
    <row r="11">
      <c r="A11" s="23" t="s">
        <v>24</v>
      </c>
      <c r="B11" s="24" t="s">
        <v>25</v>
      </c>
      <c r="C11" s="13"/>
      <c r="D11" s="13"/>
      <c r="E11" s="25" t="s">
        <v>26</v>
      </c>
      <c r="J11" s="4"/>
      <c r="K11" s="13"/>
      <c r="L11" s="12"/>
      <c r="M11" s="12"/>
      <c r="N11" s="13"/>
      <c r="O11" s="13"/>
      <c r="P11" s="13"/>
      <c r="Q11" s="13"/>
      <c r="R11" s="13"/>
      <c r="S11" s="13"/>
      <c r="T11" s="13"/>
      <c r="U11" s="13"/>
    </row>
    <row r="12" ht="27.0" customHeight="1">
      <c r="A12" s="26" t="s">
        <v>27</v>
      </c>
      <c r="B12" s="26" t="s">
        <v>28</v>
      </c>
      <c r="C12" s="26" t="s">
        <v>29</v>
      </c>
      <c r="D12" s="26" t="s">
        <v>30</v>
      </c>
      <c r="E12" s="26" t="s">
        <v>31</v>
      </c>
      <c r="F12" s="27"/>
      <c r="G12" s="27" t="s">
        <v>32</v>
      </c>
      <c r="H12" s="27" t="s">
        <v>33</v>
      </c>
      <c r="I12" s="27" t="s">
        <v>34</v>
      </c>
      <c r="J12" s="26" t="s">
        <v>35</v>
      </c>
      <c r="K12" s="26" t="s">
        <v>36</v>
      </c>
      <c r="L12" s="28"/>
      <c r="M12" s="28"/>
      <c r="N12" s="29"/>
      <c r="O12" s="29"/>
      <c r="P12" s="29"/>
      <c r="Q12" s="29"/>
      <c r="R12" s="29"/>
      <c r="S12" s="29"/>
      <c r="T12" s="29"/>
      <c r="U12" s="29"/>
    </row>
    <row r="13">
      <c r="A13" s="30"/>
      <c r="B13" s="31"/>
      <c r="E13" s="32"/>
      <c r="F13" s="22"/>
      <c r="G13" s="32"/>
      <c r="H13" s="32"/>
      <c r="I13" s="32"/>
      <c r="J13" s="32"/>
      <c r="K13" s="32"/>
      <c r="L13" s="33" t="s">
        <v>37</v>
      </c>
      <c r="M13" s="33" t="s">
        <v>38</v>
      </c>
      <c r="N13" s="13"/>
      <c r="O13" s="13"/>
      <c r="P13" s="13"/>
      <c r="Q13" s="13"/>
      <c r="R13" s="13"/>
      <c r="S13" s="13"/>
      <c r="T13" s="13"/>
      <c r="U13" s="13"/>
    </row>
    <row r="14">
      <c r="A14" s="34" t="s">
        <v>10</v>
      </c>
      <c r="B14" s="35" t="str">
        <f t="array" ref="B14:B1053">IF(A14:A1053="","","["&amp;TEXT(VLOOKUP(A14:A1053,$A$2:$B$11,2,FALSE),"00")&amp;"."&amp;TEXT(COUNTIFS(A14:A1053,A14:A1053,ROW(A14:A1053),"&lt;="&amp;ROW(A14:A1053)),"00")&amp;"]")</f>
        <v>[30.01]</v>
      </c>
      <c r="C14" s="36" t="s">
        <v>39</v>
      </c>
      <c r="D14" s="4" t="s">
        <v>40</v>
      </c>
      <c r="E14" s="33" t="str">
        <f t="array" ref="E14:E1053">IF(B14:B1053="","",B14:B1053&amp;IF(C14:C1053&lt;&gt;"", " "&amp;C14:C1053,"")&amp;IF(D14:D1053&lt;&gt;"", " - "&amp;D14:D1053,""))</f>
        <v>[30.01] New Enquiry - Webform | Chatbot</v>
      </c>
      <c r="F14" s="22"/>
      <c r="G14" s="4" t="s">
        <v>41</v>
      </c>
      <c r="H14" s="4" t="s">
        <v>3</v>
      </c>
      <c r="I14" s="4" t="s">
        <v>42</v>
      </c>
      <c r="J14" s="4"/>
      <c r="K14" s="12" t="str">
        <f>IFERROR(__xludf.DUMMYFUNCTION("ARRAYFORMULA(IF(G14:G1053&lt;&gt;"""",
    L14:L1053 &amp; "" "" &amp; 
    IFERROR(VLOOKUP(TRIM(H14:H1053), $E$2:$F$5, 2, FALSE), """") &amp; "" / "" &amp; 
    REGEXREPLACE(SUBSTITUTE(M14:M1053,"" "","".""),""\.\|\."","" | "") &amp; 
    IF(I14:I1053&lt;&gt;"""", ""."" &amp; SUBSTITUTE(I1"&amp;"4:I1053,"" "","".""), """") &amp; 
    IF(J14:J1053&lt;&gt;"""", ""."" &amp; SUBSTITUTE(J14:J1053,"" "","".""), """"),
IF(H14:H1053&lt;&gt;"""",
    IFERROR(VLOOKUP(TRIM(H14:H1053), $E$2:$F$5, 2, FALSE), """") &amp; 
    IF(I14:I1053&lt;&gt;"""", "" / "" &amp; SUBSTITUTE(I14:I1053,"" "","&amp;""".""), """") &amp; 
    IF(J14:J1053&lt;&gt;"""", ""."" &amp; SUBSTITUTE(J14:J1053,"" "","".""), """"),
"""")))"),"[30.01] T / New.Enquiry.Webform | Chatbot.start")</f>
        <v>[30.01] T / New.Enquiry.Webform | Chatbot.start</v>
      </c>
      <c r="L14" s="12" t="str">
        <f t="array" ref="L14:L1053">IF(G14:G1053&lt;&gt;"", VLOOKUP(G14:G1053, {E14:E1053, B14:B1053}, 2, FALSE), "")</f>
        <v>[30.01]</v>
      </c>
      <c r="M14" s="12" t="str">
        <f t="array" ref="M14:M1053">IF(G14:G1053&lt;&gt;"", VLOOKUP(G14:G1053, {E14:E1053, IF(D14:D1053&lt;&gt;"", SUBSTITUTE(C14:C1053," ",".") &amp; "." &amp; SUBSTITUTE(D14:D1053," ","."), SUBSTITUTE(C14:C1053," ","."))}, 2, FALSE), "")</f>
        <v>New.Enquiry.Webform.|.Chatbot</v>
      </c>
      <c r="N14" s="13"/>
      <c r="O14" s="13"/>
      <c r="P14" s="13"/>
      <c r="Q14" s="13"/>
      <c r="R14" s="13"/>
      <c r="S14" s="13"/>
      <c r="T14" s="13"/>
      <c r="U14" s="13"/>
    </row>
    <row r="15">
      <c r="A15" s="34" t="s">
        <v>15</v>
      </c>
      <c r="B15" s="37" t="s">
        <v>43</v>
      </c>
      <c r="C15" s="36" t="s">
        <v>44</v>
      </c>
      <c r="D15" s="4" t="s">
        <v>45</v>
      </c>
      <c r="E15" s="21" t="s">
        <v>46</v>
      </c>
      <c r="F15" s="22"/>
      <c r="G15" s="4" t="s">
        <v>41</v>
      </c>
      <c r="H15" s="4" t="s">
        <v>7</v>
      </c>
      <c r="I15" s="36" t="s">
        <v>47</v>
      </c>
      <c r="J15" s="4"/>
      <c r="K15" s="13" t="str">
        <f>IFERROR(__xludf.DUMMYFUNCTION("""COMPUTED_VALUE"""),"[30.01] S / New.Enquiry.Webform | Chatbot.needs.review")</f>
        <v>[30.01] S / New.Enquiry.Webform | Chatbot.needs.review</v>
      </c>
      <c r="L15" s="12" t="s">
        <v>48</v>
      </c>
      <c r="M15" s="12" t="s">
        <v>49</v>
      </c>
      <c r="N15" s="13"/>
      <c r="O15" s="13"/>
      <c r="P15" s="13"/>
      <c r="Q15" s="13"/>
      <c r="R15" s="13"/>
      <c r="S15" s="13"/>
      <c r="T15" s="13"/>
      <c r="U15" s="13"/>
    </row>
    <row r="16">
      <c r="A16" s="34" t="s">
        <v>15</v>
      </c>
      <c r="B16" s="37" t="s">
        <v>50</v>
      </c>
      <c r="C16" s="36" t="s">
        <v>51</v>
      </c>
      <c r="D16" s="4" t="s">
        <v>52</v>
      </c>
      <c r="E16" s="21" t="s">
        <v>53</v>
      </c>
      <c r="F16" s="22"/>
      <c r="G16" s="4" t="s">
        <v>46</v>
      </c>
      <c r="H16" s="4" t="s">
        <v>11</v>
      </c>
      <c r="I16" s="36"/>
      <c r="J16" s="13"/>
      <c r="K16" s="21" t="str">
        <f>IFERROR(__xludf.DUMMYFUNCTION("""COMPUTED_VALUE"""),"[40.01] A / Appointment.Booked")</f>
        <v>[40.01] A / Appointment.Booked</v>
      </c>
      <c r="L16" s="12" t="s">
        <v>43</v>
      </c>
      <c r="M16" s="12" t="s">
        <v>54</v>
      </c>
      <c r="N16" s="13"/>
      <c r="O16" s="13"/>
      <c r="P16" s="13"/>
      <c r="Q16" s="13"/>
      <c r="R16" s="13"/>
      <c r="S16" s="13"/>
      <c r="T16" s="13"/>
      <c r="U16" s="13"/>
    </row>
    <row r="17">
      <c r="A17" s="38" t="s">
        <v>15</v>
      </c>
      <c r="B17" s="37" t="s">
        <v>55</v>
      </c>
      <c r="C17" s="4" t="s">
        <v>56</v>
      </c>
      <c r="D17" s="4" t="s">
        <v>57</v>
      </c>
      <c r="E17" s="21" t="s">
        <v>58</v>
      </c>
      <c r="F17" s="22"/>
      <c r="G17" s="4" t="s">
        <v>53</v>
      </c>
      <c r="H17" s="4" t="s">
        <v>3</v>
      </c>
      <c r="I17" s="36"/>
      <c r="J17" s="4" t="s">
        <v>59</v>
      </c>
      <c r="K17" s="21" t="str">
        <f>IFERROR(__xludf.DUMMYFUNCTION("""COMPUTED_VALUE"""),"[40.02] T / Contingency.Emails.Start")</f>
        <v>[40.02] T / Contingency.Emails.Start</v>
      </c>
      <c r="L17" s="35" t="s">
        <v>50</v>
      </c>
      <c r="M17" s="33" t="s">
        <v>60</v>
      </c>
      <c r="N17" s="13"/>
      <c r="O17" s="13"/>
      <c r="P17" s="13"/>
      <c r="Q17" s="13"/>
      <c r="R17" s="13"/>
      <c r="S17" s="13"/>
      <c r="T17" s="13"/>
      <c r="U17" s="13"/>
    </row>
    <row r="18">
      <c r="A18" s="38" t="s">
        <v>19</v>
      </c>
      <c r="B18" s="37" t="s">
        <v>61</v>
      </c>
      <c r="C18" s="4" t="s">
        <v>62</v>
      </c>
      <c r="D18" s="13"/>
      <c r="E18" s="21" t="s">
        <v>63</v>
      </c>
      <c r="F18" s="22"/>
      <c r="G18" s="4" t="s">
        <v>53</v>
      </c>
      <c r="H18" s="4" t="s">
        <v>7</v>
      </c>
      <c r="I18" s="4"/>
      <c r="J18" s="4" t="s">
        <v>64</v>
      </c>
      <c r="K18" s="13" t="str">
        <f>IFERROR(__xludf.DUMMYFUNCTION("""COMPUTED_VALUE"""),"[40.02] S / Contingency.Emails.Active")</f>
        <v>[40.02] S / Contingency.Emails.Active</v>
      </c>
      <c r="L18" s="12" t="s">
        <v>50</v>
      </c>
      <c r="M18" s="12" t="s">
        <v>60</v>
      </c>
      <c r="N18" s="13"/>
      <c r="O18" s="13"/>
      <c r="P18" s="13"/>
      <c r="Q18" s="13"/>
      <c r="R18" s="13"/>
      <c r="S18" s="13"/>
      <c r="T18" s="13"/>
      <c r="U18" s="13"/>
    </row>
    <row r="19">
      <c r="A19" s="38" t="s">
        <v>20</v>
      </c>
      <c r="B19" s="37" t="s">
        <v>65</v>
      </c>
      <c r="C19" s="4" t="s">
        <v>66</v>
      </c>
      <c r="D19" s="13"/>
      <c r="E19" s="21" t="s">
        <v>67</v>
      </c>
      <c r="F19" s="22"/>
      <c r="G19" s="4" t="s">
        <v>53</v>
      </c>
      <c r="H19" s="4" t="s">
        <v>11</v>
      </c>
      <c r="I19" s="4"/>
      <c r="J19" s="4" t="s">
        <v>68</v>
      </c>
      <c r="K19" s="13" t="str">
        <f>IFERROR(__xludf.DUMMYFUNCTION("""COMPUTED_VALUE"""),"[40.02] A / Contingency.Emails.Complete")</f>
        <v>[40.02] A / Contingency.Emails.Complete</v>
      </c>
      <c r="L19" s="12" t="s">
        <v>50</v>
      </c>
      <c r="M19" s="12" t="s">
        <v>60</v>
      </c>
      <c r="N19" s="13"/>
      <c r="O19" s="13"/>
      <c r="P19" s="13"/>
      <c r="Q19" s="13"/>
      <c r="R19" s="13"/>
      <c r="S19" s="13"/>
      <c r="T19" s="13"/>
      <c r="U19" s="13"/>
    </row>
    <row r="20">
      <c r="A20" s="38" t="s">
        <v>21</v>
      </c>
      <c r="B20" s="37" t="s">
        <v>69</v>
      </c>
      <c r="C20" s="4" t="s">
        <v>70</v>
      </c>
      <c r="D20" s="4"/>
      <c r="E20" s="21" t="s">
        <v>71</v>
      </c>
      <c r="F20" s="22"/>
      <c r="G20" s="4" t="s">
        <v>58</v>
      </c>
      <c r="H20" s="4" t="s">
        <v>3</v>
      </c>
      <c r="I20" s="4"/>
      <c r="J20" s="4" t="s">
        <v>59</v>
      </c>
      <c r="K20" s="13" t="str">
        <f>IFERROR(__xludf.DUMMYFUNCTION("""COMPUTED_VALUE"""),"[40.03] T / Value.Sequence.Start")</f>
        <v>[40.03] T / Value.Sequence.Start</v>
      </c>
      <c r="L20" s="12" t="s">
        <v>55</v>
      </c>
      <c r="M20" s="12" t="s">
        <v>72</v>
      </c>
      <c r="N20" s="13"/>
      <c r="O20" s="13"/>
      <c r="P20" s="13"/>
      <c r="Q20" s="13"/>
      <c r="R20" s="13"/>
      <c r="S20" s="13"/>
      <c r="T20" s="13"/>
      <c r="U20" s="13"/>
    </row>
    <row r="21">
      <c r="A21" s="38" t="s">
        <v>21</v>
      </c>
      <c r="B21" s="37" t="s">
        <v>73</v>
      </c>
      <c r="C21" s="4" t="s">
        <v>74</v>
      </c>
      <c r="D21" s="4" t="s">
        <v>75</v>
      </c>
      <c r="E21" s="21" t="s">
        <v>76</v>
      </c>
      <c r="F21" s="22"/>
      <c r="G21" s="4" t="s">
        <v>58</v>
      </c>
      <c r="H21" s="4" t="s">
        <v>11</v>
      </c>
      <c r="I21" s="4" t="s">
        <v>77</v>
      </c>
      <c r="J21" s="4" t="s">
        <v>78</v>
      </c>
      <c r="K21" s="13" t="str">
        <f>IFERROR(__xludf.DUMMYFUNCTION("""COMPUTED_VALUE"""),"[40.03] A / Value.Sequence.Sent.#1")</f>
        <v>[40.03] A / Value.Sequence.Sent.#1</v>
      </c>
      <c r="L21" s="12" t="s">
        <v>55</v>
      </c>
      <c r="M21" s="12" t="s">
        <v>72</v>
      </c>
      <c r="N21" s="13"/>
      <c r="O21" s="13"/>
      <c r="P21" s="13"/>
      <c r="Q21" s="13"/>
      <c r="R21" s="13"/>
      <c r="S21" s="13"/>
      <c r="T21" s="13"/>
      <c r="U21" s="13"/>
    </row>
    <row r="22">
      <c r="A22" s="38"/>
      <c r="B22" s="37" t="s">
        <v>79</v>
      </c>
      <c r="C22" s="4"/>
      <c r="D22" s="4"/>
      <c r="E22" s="21" t="s">
        <v>79</v>
      </c>
      <c r="F22" s="22"/>
      <c r="G22" s="4" t="s">
        <v>58</v>
      </c>
      <c r="H22" s="4" t="s">
        <v>11</v>
      </c>
      <c r="I22" s="4" t="s">
        <v>77</v>
      </c>
      <c r="J22" s="4" t="s">
        <v>80</v>
      </c>
      <c r="K22" s="13" t="str">
        <f>IFERROR(__xludf.DUMMYFUNCTION("""COMPUTED_VALUE"""),"[40.03] A / Value.Sequence.Sent.#2")</f>
        <v>[40.03] A / Value.Sequence.Sent.#2</v>
      </c>
      <c r="L22" s="12" t="s">
        <v>55</v>
      </c>
      <c r="M22" s="12" t="s">
        <v>72</v>
      </c>
      <c r="N22" s="13"/>
      <c r="O22" s="13"/>
      <c r="P22" s="13"/>
      <c r="Q22" s="13"/>
      <c r="R22" s="13"/>
      <c r="S22" s="13"/>
      <c r="T22" s="13"/>
      <c r="U22" s="13"/>
    </row>
    <row r="23">
      <c r="A23" s="38"/>
      <c r="B23" s="37" t="s">
        <v>79</v>
      </c>
      <c r="C23" s="4"/>
      <c r="D23" s="13"/>
      <c r="E23" s="21" t="s">
        <v>79</v>
      </c>
      <c r="F23" s="22"/>
      <c r="G23" s="4" t="s">
        <v>58</v>
      </c>
      <c r="H23" s="4" t="s">
        <v>11</v>
      </c>
      <c r="I23" s="4" t="s">
        <v>77</v>
      </c>
      <c r="J23" s="4" t="s">
        <v>81</v>
      </c>
      <c r="K23" s="13" t="str">
        <f>IFERROR(__xludf.DUMMYFUNCTION("""COMPUTED_VALUE"""),"[40.03] A / Value.Sequence.Sent.#3")</f>
        <v>[40.03] A / Value.Sequence.Sent.#3</v>
      </c>
      <c r="L23" s="12" t="s">
        <v>55</v>
      </c>
      <c r="M23" s="12" t="s">
        <v>72</v>
      </c>
      <c r="N23" s="13"/>
      <c r="O23" s="13"/>
      <c r="P23" s="13"/>
      <c r="Q23" s="13"/>
      <c r="R23" s="13"/>
      <c r="S23" s="13"/>
      <c r="T23" s="13"/>
      <c r="U23" s="13"/>
    </row>
    <row r="24">
      <c r="A24" s="38"/>
      <c r="B24" s="37" t="s">
        <v>79</v>
      </c>
      <c r="C24" s="4"/>
      <c r="D24" s="13"/>
      <c r="E24" s="21" t="s">
        <v>79</v>
      </c>
      <c r="F24" s="22"/>
      <c r="G24" s="4" t="s">
        <v>58</v>
      </c>
      <c r="H24" s="4" t="s">
        <v>11</v>
      </c>
      <c r="I24" s="4" t="s">
        <v>77</v>
      </c>
      <c r="J24" s="4" t="s">
        <v>82</v>
      </c>
      <c r="K24" s="13" t="str">
        <f>IFERROR(__xludf.DUMMYFUNCTION("""COMPUTED_VALUE"""),"[40.03] A / Value.Sequence.Sent.#4")</f>
        <v>[40.03] A / Value.Sequence.Sent.#4</v>
      </c>
      <c r="L24" s="12" t="s">
        <v>55</v>
      </c>
      <c r="M24" s="12" t="s">
        <v>72</v>
      </c>
      <c r="N24" s="13"/>
      <c r="O24" s="13"/>
      <c r="P24" s="13"/>
      <c r="Q24" s="13"/>
      <c r="R24" s="13"/>
      <c r="S24" s="13"/>
      <c r="T24" s="13"/>
      <c r="U24" s="13"/>
    </row>
    <row r="25">
      <c r="A25" s="38"/>
      <c r="B25" s="37" t="s">
        <v>79</v>
      </c>
      <c r="C25" s="4"/>
      <c r="D25" s="13"/>
      <c r="E25" s="21" t="s">
        <v>79</v>
      </c>
      <c r="F25" s="22"/>
      <c r="G25" s="4" t="s">
        <v>58</v>
      </c>
      <c r="H25" s="4" t="s">
        <v>11</v>
      </c>
      <c r="I25" s="4" t="s">
        <v>77</v>
      </c>
      <c r="J25" s="4" t="s">
        <v>83</v>
      </c>
      <c r="K25" s="13" t="str">
        <f>IFERROR(__xludf.DUMMYFUNCTION("""COMPUTED_VALUE"""),"[40.03] A / Value.Sequence.Sent.#5")</f>
        <v>[40.03] A / Value.Sequence.Sent.#5</v>
      </c>
      <c r="L25" s="12" t="s">
        <v>55</v>
      </c>
      <c r="M25" s="12" t="s">
        <v>72</v>
      </c>
      <c r="N25" s="13"/>
      <c r="O25" s="13"/>
      <c r="P25" s="13"/>
      <c r="Q25" s="13"/>
      <c r="R25" s="13"/>
      <c r="S25" s="13"/>
      <c r="T25" s="13"/>
      <c r="U25" s="13"/>
    </row>
    <row r="26">
      <c r="A26" s="38"/>
      <c r="B26" s="37" t="s">
        <v>79</v>
      </c>
      <c r="C26" s="4"/>
      <c r="D26" s="13"/>
      <c r="E26" s="21" t="s">
        <v>79</v>
      </c>
      <c r="F26" s="22"/>
      <c r="G26" s="4" t="s">
        <v>58</v>
      </c>
      <c r="H26" s="4" t="s">
        <v>11</v>
      </c>
      <c r="I26" s="4" t="s">
        <v>77</v>
      </c>
      <c r="J26" s="4" t="s">
        <v>84</v>
      </c>
      <c r="K26" s="13" t="str">
        <f>IFERROR(__xludf.DUMMYFUNCTION("""COMPUTED_VALUE"""),"[40.03] A / Value.Sequence.Sent.#6")</f>
        <v>[40.03] A / Value.Sequence.Sent.#6</v>
      </c>
      <c r="L26" s="12" t="s">
        <v>55</v>
      </c>
      <c r="M26" s="12" t="s">
        <v>72</v>
      </c>
      <c r="N26" s="13"/>
      <c r="O26" s="13"/>
      <c r="P26" s="13"/>
      <c r="Q26" s="13"/>
      <c r="R26" s="13"/>
      <c r="S26" s="13"/>
      <c r="T26" s="13"/>
      <c r="U26" s="13"/>
    </row>
    <row r="27">
      <c r="A27" s="38"/>
      <c r="B27" s="37" t="s">
        <v>79</v>
      </c>
      <c r="C27" s="4"/>
      <c r="D27" s="13"/>
      <c r="E27" s="21" t="s">
        <v>79</v>
      </c>
      <c r="F27" s="22"/>
      <c r="G27" s="4" t="s">
        <v>58</v>
      </c>
      <c r="H27" s="4" t="s">
        <v>11</v>
      </c>
      <c r="I27" s="4" t="s">
        <v>77</v>
      </c>
      <c r="J27" s="4" t="s">
        <v>85</v>
      </c>
      <c r="K27" s="13" t="str">
        <f>IFERROR(__xludf.DUMMYFUNCTION("""COMPUTED_VALUE"""),"[40.03] A / Value.Sequence.Sent.#7")</f>
        <v>[40.03] A / Value.Sequence.Sent.#7</v>
      </c>
      <c r="L27" s="12" t="s">
        <v>55</v>
      </c>
      <c r="M27" s="12" t="s">
        <v>72</v>
      </c>
      <c r="N27" s="13"/>
      <c r="O27" s="13"/>
      <c r="P27" s="13"/>
      <c r="Q27" s="13"/>
      <c r="R27" s="13"/>
      <c r="S27" s="13"/>
      <c r="T27" s="13"/>
      <c r="U27" s="13"/>
    </row>
    <row r="28">
      <c r="A28" s="38"/>
      <c r="B28" s="37" t="s">
        <v>79</v>
      </c>
      <c r="C28" s="4"/>
      <c r="D28" s="4"/>
      <c r="E28" s="21" t="s">
        <v>79</v>
      </c>
      <c r="F28" s="22"/>
      <c r="G28" s="4" t="s">
        <v>58</v>
      </c>
      <c r="H28" s="4" t="s">
        <v>11</v>
      </c>
      <c r="I28" s="4" t="s">
        <v>77</v>
      </c>
      <c r="J28" s="4" t="s">
        <v>86</v>
      </c>
      <c r="K28" s="13" t="str">
        <f>IFERROR(__xludf.DUMMYFUNCTION("""COMPUTED_VALUE"""),"[40.03] A / Value.Sequence.Sent.#8")</f>
        <v>[40.03] A / Value.Sequence.Sent.#8</v>
      </c>
      <c r="L28" s="12" t="s">
        <v>55</v>
      </c>
      <c r="M28" s="12" t="s">
        <v>72</v>
      </c>
      <c r="N28" s="13"/>
      <c r="O28" s="13"/>
      <c r="P28" s="13"/>
      <c r="Q28" s="13"/>
      <c r="R28" s="13"/>
      <c r="S28" s="13"/>
      <c r="T28" s="13"/>
      <c r="U28" s="13"/>
    </row>
    <row r="29">
      <c r="A29" s="38"/>
      <c r="B29" s="37" t="s">
        <v>79</v>
      </c>
      <c r="C29" s="4"/>
      <c r="D29" s="4"/>
      <c r="E29" s="21" t="s">
        <v>79</v>
      </c>
      <c r="F29" s="22"/>
      <c r="G29" s="4" t="s">
        <v>58</v>
      </c>
      <c r="H29" s="4" t="s">
        <v>7</v>
      </c>
      <c r="I29" s="4"/>
      <c r="J29" s="4" t="s">
        <v>64</v>
      </c>
      <c r="K29" s="13" t="str">
        <f>IFERROR(__xludf.DUMMYFUNCTION("""COMPUTED_VALUE"""),"[40.03] S / Value.Sequence.Active")</f>
        <v>[40.03] S / Value.Sequence.Active</v>
      </c>
      <c r="L29" s="12" t="s">
        <v>55</v>
      </c>
      <c r="M29" s="12" t="s">
        <v>72</v>
      </c>
      <c r="N29" s="13"/>
      <c r="O29" s="13"/>
      <c r="P29" s="13"/>
      <c r="Q29" s="13"/>
      <c r="R29" s="13"/>
      <c r="S29" s="13"/>
      <c r="T29" s="13"/>
      <c r="U29" s="13"/>
    </row>
    <row r="30">
      <c r="A30" s="39"/>
      <c r="B30" s="37" t="s">
        <v>79</v>
      </c>
      <c r="C30" s="13"/>
      <c r="D30" s="13"/>
      <c r="E30" s="21" t="s">
        <v>79</v>
      </c>
      <c r="F30" s="22"/>
      <c r="G30" s="4" t="s">
        <v>67</v>
      </c>
      <c r="H30" s="4" t="s">
        <v>3</v>
      </c>
      <c r="I30" s="4"/>
      <c r="J30" s="4" t="s">
        <v>59</v>
      </c>
      <c r="K30" s="13" t="str">
        <f>IFERROR(__xludf.DUMMYFUNCTION("""COMPUTED_VALUE"""),"[60.01] T / Purchase.Actions.Start")</f>
        <v>[60.01] T / Purchase.Actions.Start</v>
      </c>
      <c r="L30" s="12" t="s">
        <v>65</v>
      </c>
      <c r="M30" s="12" t="s">
        <v>87</v>
      </c>
      <c r="N30" s="13"/>
      <c r="O30" s="13"/>
      <c r="P30" s="13"/>
      <c r="Q30" s="13"/>
      <c r="R30" s="13"/>
      <c r="S30" s="13"/>
      <c r="T30" s="13"/>
      <c r="U30" s="13"/>
    </row>
    <row r="31">
      <c r="A31" s="39"/>
      <c r="B31" s="37" t="s">
        <v>79</v>
      </c>
      <c r="C31" s="13"/>
      <c r="D31" s="13"/>
      <c r="E31" s="21" t="s">
        <v>79</v>
      </c>
      <c r="F31" s="22"/>
      <c r="G31" s="4" t="s">
        <v>71</v>
      </c>
      <c r="H31" s="4" t="s">
        <v>3</v>
      </c>
      <c r="I31" s="4"/>
      <c r="J31" s="4" t="s">
        <v>59</v>
      </c>
      <c r="K31" s="13" t="str">
        <f>IFERROR(__xludf.DUMMYFUNCTION("""COMPUTED_VALUE"""),"[70.01] T / Onboarding.Start")</f>
        <v>[70.01] T / Onboarding.Start</v>
      </c>
      <c r="L31" s="12" t="s">
        <v>69</v>
      </c>
      <c r="M31" s="12" t="s">
        <v>70</v>
      </c>
      <c r="N31" s="13"/>
      <c r="O31" s="13"/>
      <c r="P31" s="13"/>
      <c r="Q31" s="13"/>
      <c r="R31" s="13"/>
      <c r="S31" s="13"/>
      <c r="T31" s="13"/>
      <c r="U31" s="13"/>
    </row>
    <row r="32">
      <c r="A32" s="39"/>
      <c r="B32" s="37" t="s">
        <v>79</v>
      </c>
      <c r="C32" s="13"/>
      <c r="D32" s="13"/>
      <c r="E32" s="21" t="s">
        <v>79</v>
      </c>
      <c r="F32" s="22"/>
      <c r="G32" s="4" t="s">
        <v>71</v>
      </c>
      <c r="H32" s="4" t="s">
        <v>7</v>
      </c>
      <c r="I32" s="4"/>
      <c r="J32" s="4" t="s">
        <v>64</v>
      </c>
      <c r="K32" s="13" t="str">
        <f>IFERROR(__xludf.DUMMYFUNCTION("""COMPUTED_VALUE"""),"[70.01] S / Onboarding.Active")</f>
        <v>[70.01] S / Onboarding.Active</v>
      </c>
      <c r="L32" s="12" t="s">
        <v>69</v>
      </c>
      <c r="M32" s="12" t="s">
        <v>70</v>
      </c>
      <c r="N32" s="13"/>
      <c r="O32" s="13"/>
      <c r="P32" s="13"/>
      <c r="Q32" s="13"/>
      <c r="R32" s="13"/>
      <c r="S32" s="13"/>
      <c r="T32" s="13"/>
      <c r="U32" s="13"/>
    </row>
    <row r="33">
      <c r="A33" s="39"/>
      <c r="B33" s="37" t="s">
        <v>79</v>
      </c>
      <c r="C33" s="13"/>
      <c r="D33" s="13"/>
      <c r="E33" s="21" t="s">
        <v>79</v>
      </c>
      <c r="F33" s="22"/>
      <c r="G33" s="4" t="s">
        <v>71</v>
      </c>
      <c r="H33" s="4" t="s">
        <v>11</v>
      </c>
      <c r="I33" s="4"/>
      <c r="J33" s="4" t="s">
        <v>88</v>
      </c>
      <c r="K33" s="13" t="str">
        <f>IFERROR(__xludf.DUMMYFUNCTION("""COMPUTED_VALUE"""),"[70.01] A / Onboarding.Onboarded")</f>
        <v>[70.01] A / Onboarding.Onboarded</v>
      </c>
      <c r="L33" s="12" t="s">
        <v>69</v>
      </c>
      <c r="M33" s="12" t="s">
        <v>70</v>
      </c>
      <c r="N33" s="13"/>
      <c r="O33" s="13"/>
      <c r="P33" s="13"/>
      <c r="Q33" s="13"/>
      <c r="R33" s="13"/>
      <c r="S33" s="13"/>
      <c r="T33" s="13"/>
      <c r="U33" s="13"/>
    </row>
    <row r="34">
      <c r="A34" s="39"/>
      <c r="B34" s="37" t="s">
        <v>79</v>
      </c>
      <c r="C34" s="13"/>
      <c r="D34" s="13"/>
      <c r="E34" s="21" t="s">
        <v>79</v>
      </c>
      <c r="F34" s="22"/>
      <c r="G34" s="4" t="s">
        <v>76</v>
      </c>
      <c r="H34" s="4" t="s">
        <v>11</v>
      </c>
      <c r="I34" s="4"/>
      <c r="J34" s="4"/>
      <c r="K34" s="13" t="str">
        <f>IFERROR(__xludf.DUMMYFUNCTION("""COMPUTED_VALUE"""),"[70.02] A / Document.Signed")</f>
        <v>[70.02] A / Document.Signed</v>
      </c>
      <c r="L34" s="12" t="s">
        <v>73</v>
      </c>
      <c r="M34" s="12" t="s">
        <v>89</v>
      </c>
      <c r="N34" s="13"/>
      <c r="O34" s="13"/>
      <c r="P34" s="13"/>
      <c r="Q34" s="13"/>
      <c r="R34" s="13"/>
      <c r="S34" s="13"/>
      <c r="T34" s="13"/>
      <c r="U34" s="13"/>
    </row>
    <row r="35">
      <c r="A35" s="39"/>
      <c r="B35" s="37" t="s">
        <v>79</v>
      </c>
      <c r="C35" s="13"/>
      <c r="D35" s="13"/>
      <c r="E35" s="21" t="s">
        <v>79</v>
      </c>
      <c r="F35" s="22"/>
      <c r="G35" s="4"/>
      <c r="H35" s="4"/>
      <c r="K35" s="13" t="str">
        <f>IFERROR(__xludf.DUMMYFUNCTION("""COMPUTED_VALUE"""),"")</f>
        <v/>
      </c>
      <c r="L35" s="12" t="s">
        <v>79</v>
      </c>
      <c r="M35" s="12" t="s">
        <v>79</v>
      </c>
      <c r="N35" s="13"/>
      <c r="O35" s="13"/>
      <c r="P35" s="13"/>
      <c r="Q35" s="13"/>
      <c r="R35" s="13"/>
      <c r="S35" s="13"/>
      <c r="T35" s="13"/>
      <c r="U35" s="13"/>
    </row>
    <row r="36">
      <c r="A36" s="30"/>
      <c r="B36" s="37" t="s">
        <v>79</v>
      </c>
      <c r="E36" s="21" t="s">
        <v>79</v>
      </c>
      <c r="F36" s="40"/>
      <c r="G36" s="4"/>
      <c r="H36" s="4"/>
      <c r="K36" s="41" t="str">
        <f>IFERROR(__xludf.DUMMYFUNCTION("""COMPUTED_VALUE"""),"")</f>
        <v/>
      </c>
      <c r="L36" s="42" t="s">
        <v>79</v>
      </c>
      <c r="M36" s="42" t="s">
        <v>79</v>
      </c>
    </row>
    <row r="37">
      <c r="A37" s="30"/>
      <c r="B37" s="37" t="s">
        <v>79</v>
      </c>
      <c r="E37" s="21" t="s">
        <v>79</v>
      </c>
      <c r="F37" s="40"/>
      <c r="G37" s="4"/>
      <c r="H37" s="4"/>
      <c r="K37" s="41" t="str">
        <f>IFERROR(__xludf.DUMMYFUNCTION("""COMPUTED_VALUE"""),"")</f>
        <v/>
      </c>
      <c r="L37" s="42" t="s">
        <v>79</v>
      </c>
      <c r="M37" s="42" t="s">
        <v>79</v>
      </c>
    </row>
    <row r="38">
      <c r="A38" s="30"/>
      <c r="B38" s="37" t="s">
        <v>79</v>
      </c>
      <c r="E38" s="21" t="s">
        <v>79</v>
      </c>
      <c r="F38" s="40"/>
      <c r="G38" s="4"/>
      <c r="H38" s="4"/>
      <c r="I38" s="13"/>
      <c r="K38" s="41" t="str">
        <f>IFERROR(__xludf.DUMMYFUNCTION("""COMPUTED_VALUE"""),"")</f>
        <v/>
      </c>
      <c r="L38" s="42" t="s">
        <v>79</v>
      </c>
      <c r="M38" s="42" t="s">
        <v>79</v>
      </c>
    </row>
    <row r="39">
      <c r="A39" s="30"/>
      <c r="B39" s="37" t="s">
        <v>79</v>
      </c>
      <c r="E39" s="21" t="s">
        <v>79</v>
      </c>
      <c r="F39" s="40"/>
      <c r="G39" s="4"/>
      <c r="H39" s="4"/>
      <c r="I39" s="13"/>
      <c r="K39" s="41" t="str">
        <f>IFERROR(__xludf.DUMMYFUNCTION("""COMPUTED_VALUE"""),"")</f>
        <v/>
      </c>
      <c r="L39" s="42" t="s">
        <v>79</v>
      </c>
      <c r="M39" s="42" t="s">
        <v>79</v>
      </c>
    </row>
    <row r="40">
      <c r="A40" s="30"/>
      <c r="B40" s="37" t="s">
        <v>79</v>
      </c>
      <c r="E40" s="21" t="s">
        <v>79</v>
      </c>
      <c r="F40" s="40"/>
      <c r="G40" s="4"/>
      <c r="H40" s="4"/>
      <c r="I40" s="13"/>
      <c r="K40" s="41" t="str">
        <f>IFERROR(__xludf.DUMMYFUNCTION("""COMPUTED_VALUE"""),"")</f>
        <v/>
      </c>
      <c r="L40" s="42" t="s">
        <v>79</v>
      </c>
      <c r="M40" s="42" t="s">
        <v>79</v>
      </c>
    </row>
    <row r="41">
      <c r="A41" s="30"/>
      <c r="B41" s="37" t="s">
        <v>79</v>
      </c>
      <c r="E41" s="21" t="s">
        <v>79</v>
      </c>
      <c r="F41" s="40"/>
      <c r="G41" s="4"/>
      <c r="H41" s="4"/>
      <c r="I41" s="4"/>
      <c r="K41" s="41" t="str">
        <f>IFERROR(__xludf.DUMMYFUNCTION("""COMPUTED_VALUE"""),"")</f>
        <v/>
      </c>
      <c r="L41" s="42" t="s">
        <v>79</v>
      </c>
      <c r="M41" s="42" t="s">
        <v>79</v>
      </c>
    </row>
    <row r="42">
      <c r="A42" s="30"/>
      <c r="B42" s="37" t="s">
        <v>79</v>
      </c>
      <c r="E42" s="21" t="s">
        <v>79</v>
      </c>
      <c r="F42" s="40"/>
      <c r="G42" s="4"/>
      <c r="H42" s="4"/>
      <c r="I42" s="13"/>
      <c r="K42" s="41" t="str">
        <f>IFERROR(__xludf.DUMMYFUNCTION("""COMPUTED_VALUE"""),"")</f>
        <v/>
      </c>
      <c r="L42" s="42" t="s">
        <v>79</v>
      </c>
      <c r="M42" s="42" t="s">
        <v>79</v>
      </c>
    </row>
    <row r="43">
      <c r="A43" s="30"/>
      <c r="B43" s="37" t="s">
        <v>79</v>
      </c>
      <c r="E43" s="21" t="s">
        <v>79</v>
      </c>
      <c r="F43" s="40"/>
      <c r="G43" s="4"/>
      <c r="H43" s="4"/>
      <c r="K43" s="41" t="str">
        <f>IFERROR(__xludf.DUMMYFUNCTION("""COMPUTED_VALUE"""),"")</f>
        <v/>
      </c>
      <c r="L43" s="42" t="s">
        <v>79</v>
      </c>
      <c r="M43" s="42" t="s">
        <v>79</v>
      </c>
    </row>
    <row r="44">
      <c r="A44" s="30"/>
      <c r="B44" s="37" t="s">
        <v>79</v>
      </c>
      <c r="E44" s="21" t="s">
        <v>79</v>
      </c>
      <c r="F44" s="40"/>
      <c r="G44" s="4"/>
      <c r="H44" s="4"/>
      <c r="K44" s="41" t="str">
        <f>IFERROR(__xludf.DUMMYFUNCTION("""COMPUTED_VALUE"""),"")</f>
        <v/>
      </c>
      <c r="L44" s="42" t="s">
        <v>79</v>
      </c>
      <c r="M44" s="42" t="s">
        <v>79</v>
      </c>
    </row>
    <row r="45">
      <c r="A45" s="30"/>
      <c r="B45" s="37" t="s">
        <v>79</v>
      </c>
      <c r="E45" s="21" t="s">
        <v>79</v>
      </c>
      <c r="F45" s="40"/>
      <c r="G45" s="4"/>
      <c r="H45" s="4"/>
      <c r="K45" s="41" t="str">
        <f>IFERROR(__xludf.DUMMYFUNCTION("""COMPUTED_VALUE"""),"")</f>
        <v/>
      </c>
      <c r="L45" s="42" t="s">
        <v>79</v>
      </c>
      <c r="M45" s="42" t="s">
        <v>79</v>
      </c>
    </row>
    <row r="46">
      <c r="A46" s="30"/>
      <c r="B46" s="37" t="s">
        <v>79</v>
      </c>
      <c r="E46" s="21" t="s">
        <v>79</v>
      </c>
      <c r="F46" s="40"/>
      <c r="G46" s="4"/>
      <c r="H46" s="4"/>
      <c r="K46" s="41" t="str">
        <f>IFERROR(__xludf.DUMMYFUNCTION("""COMPUTED_VALUE"""),"")</f>
        <v/>
      </c>
      <c r="L46" s="42" t="s">
        <v>79</v>
      </c>
      <c r="M46" s="42" t="s">
        <v>79</v>
      </c>
    </row>
    <row r="47">
      <c r="A47" s="30"/>
      <c r="B47" s="37" t="s">
        <v>79</v>
      </c>
      <c r="E47" s="21" t="s">
        <v>79</v>
      </c>
      <c r="F47" s="40"/>
      <c r="G47" s="4"/>
      <c r="H47" s="4"/>
      <c r="K47" s="41" t="str">
        <f>IFERROR(__xludf.DUMMYFUNCTION("""COMPUTED_VALUE"""),"")</f>
        <v/>
      </c>
      <c r="L47" s="42" t="s">
        <v>79</v>
      </c>
      <c r="M47" s="42" t="s">
        <v>79</v>
      </c>
    </row>
    <row r="48">
      <c r="A48" s="30"/>
      <c r="B48" s="37" t="s">
        <v>79</v>
      </c>
      <c r="E48" s="21" t="s">
        <v>79</v>
      </c>
      <c r="F48" s="40"/>
      <c r="G48" s="4"/>
      <c r="H48" s="4"/>
      <c r="K48" s="41" t="str">
        <f>IFERROR(__xludf.DUMMYFUNCTION("""COMPUTED_VALUE"""),"")</f>
        <v/>
      </c>
      <c r="L48" s="42" t="s">
        <v>79</v>
      </c>
      <c r="M48" s="42" t="s">
        <v>79</v>
      </c>
    </row>
    <row r="49">
      <c r="A49" s="30"/>
      <c r="B49" s="37" t="s">
        <v>79</v>
      </c>
      <c r="E49" s="21" t="s">
        <v>79</v>
      </c>
      <c r="F49" s="40"/>
      <c r="G49" s="4"/>
      <c r="H49" s="4"/>
      <c r="K49" s="41" t="str">
        <f>IFERROR(__xludf.DUMMYFUNCTION("""COMPUTED_VALUE"""),"")</f>
        <v/>
      </c>
      <c r="L49" s="42" t="s">
        <v>79</v>
      </c>
      <c r="M49" s="42" t="s">
        <v>79</v>
      </c>
    </row>
    <row r="50">
      <c r="A50" s="30"/>
      <c r="B50" s="37" t="s">
        <v>79</v>
      </c>
      <c r="E50" s="21" t="s">
        <v>79</v>
      </c>
      <c r="F50" s="40"/>
      <c r="G50" s="4"/>
      <c r="H50" s="4"/>
      <c r="K50" s="41" t="str">
        <f>IFERROR(__xludf.DUMMYFUNCTION("""COMPUTED_VALUE"""),"")</f>
        <v/>
      </c>
      <c r="L50" s="42" t="s">
        <v>79</v>
      </c>
      <c r="M50" s="42" t="s">
        <v>79</v>
      </c>
    </row>
    <row r="51">
      <c r="A51" s="30"/>
      <c r="B51" s="37" t="s">
        <v>79</v>
      </c>
      <c r="E51" s="21" t="s">
        <v>79</v>
      </c>
      <c r="F51" s="40"/>
      <c r="G51" s="4"/>
      <c r="H51" s="4"/>
      <c r="K51" s="41" t="str">
        <f>IFERROR(__xludf.DUMMYFUNCTION("""COMPUTED_VALUE"""),"")</f>
        <v/>
      </c>
      <c r="L51" s="42" t="s">
        <v>79</v>
      </c>
      <c r="M51" s="42" t="s">
        <v>79</v>
      </c>
    </row>
    <row r="52">
      <c r="A52" s="30"/>
      <c r="B52" s="37" t="s">
        <v>79</v>
      </c>
      <c r="E52" s="21" t="s">
        <v>79</v>
      </c>
      <c r="F52" s="40"/>
      <c r="G52" s="4"/>
      <c r="H52" s="4"/>
      <c r="K52" s="41" t="str">
        <f>IFERROR(__xludf.DUMMYFUNCTION("""COMPUTED_VALUE"""),"")</f>
        <v/>
      </c>
      <c r="L52" s="42" t="s">
        <v>79</v>
      </c>
      <c r="M52" s="42" t="s">
        <v>79</v>
      </c>
    </row>
    <row r="53">
      <c r="A53" s="30"/>
      <c r="B53" s="37" t="s">
        <v>79</v>
      </c>
      <c r="E53" s="21" t="s">
        <v>79</v>
      </c>
      <c r="F53" s="40"/>
      <c r="G53" s="4"/>
      <c r="H53" s="4"/>
      <c r="K53" s="41" t="str">
        <f>IFERROR(__xludf.DUMMYFUNCTION("""COMPUTED_VALUE"""),"")</f>
        <v/>
      </c>
      <c r="L53" s="42" t="s">
        <v>79</v>
      </c>
      <c r="M53" s="42" t="s">
        <v>79</v>
      </c>
    </row>
    <row r="54">
      <c r="A54" s="30"/>
      <c r="B54" s="37" t="s">
        <v>79</v>
      </c>
      <c r="E54" s="21" t="s">
        <v>79</v>
      </c>
      <c r="F54" s="40"/>
      <c r="G54" s="4"/>
      <c r="H54" s="4"/>
      <c r="K54" s="41" t="str">
        <f>IFERROR(__xludf.DUMMYFUNCTION("""COMPUTED_VALUE"""),"")</f>
        <v/>
      </c>
      <c r="L54" s="42" t="s">
        <v>79</v>
      </c>
      <c r="M54" s="42" t="s">
        <v>79</v>
      </c>
    </row>
    <row r="55">
      <c r="A55" s="30"/>
      <c r="B55" s="37" t="s">
        <v>79</v>
      </c>
      <c r="E55" s="21" t="s">
        <v>79</v>
      </c>
      <c r="F55" s="40"/>
      <c r="G55" s="4"/>
      <c r="H55" s="4"/>
      <c r="K55" s="41" t="str">
        <f>IFERROR(__xludf.DUMMYFUNCTION("""COMPUTED_VALUE"""),"")</f>
        <v/>
      </c>
      <c r="L55" s="42" t="s">
        <v>79</v>
      </c>
      <c r="M55" s="42" t="s">
        <v>79</v>
      </c>
    </row>
    <row r="56">
      <c r="A56" s="30"/>
      <c r="B56" s="37" t="s">
        <v>79</v>
      </c>
      <c r="E56" s="21" t="s">
        <v>79</v>
      </c>
      <c r="F56" s="40"/>
      <c r="G56" s="4"/>
      <c r="H56" s="4"/>
      <c r="K56" s="41" t="str">
        <f>IFERROR(__xludf.DUMMYFUNCTION("""COMPUTED_VALUE"""),"")</f>
        <v/>
      </c>
      <c r="L56" s="42" t="s">
        <v>79</v>
      </c>
      <c r="M56" s="42" t="s">
        <v>79</v>
      </c>
    </row>
    <row r="57">
      <c r="A57" s="30"/>
      <c r="B57" s="37" t="s">
        <v>79</v>
      </c>
      <c r="E57" s="21" t="s">
        <v>79</v>
      </c>
      <c r="F57" s="40"/>
      <c r="G57" s="4"/>
      <c r="H57" s="4"/>
      <c r="K57" s="41" t="str">
        <f>IFERROR(__xludf.DUMMYFUNCTION("""COMPUTED_VALUE"""),"")</f>
        <v/>
      </c>
      <c r="L57" s="42" t="s">
        <v>79</v>
      </c>
      <c r="M57" s="42" t="s">
        <v>79</v>
      </c>
    </row>
    <row r="58">
      <c r="A58" s="30"/>
      <c r="B58" s="37" t="s">
        <v>79</v>
      </c>
      <c r="E58" s="21" t="s">
        <v>79</v>
      </c>
      <c r="F58" s="40"/>
      <c r="G58" s="4"/>
      <c r="H58" s="4"/>
      <c r="K58" s="41" t="str">
        <f>IFERROR(__xludf.DUMMYFUNCTION("""COMPUTED_VALUE"""),"")</f>
        <v/>
      </c>
      <c r="L58" s="42" t="s">
        <v>79</v>
      </c>
      <c r="M58" s="42" t="s">
        <v>79</v>
      </c>
    </row>
    <row r="59">
      <c r="A59" s="30"/>
      <c r="B59" s="37" t="s">
        <v>79</v>
      </c>
      <c r="E59" s="21" t="s">
        <v>79</v>
      </c>
      <c r="F59" s="40"/>
      <c r="G59" s="4"/>
      <c r="H59" s="4"/>
      <c r="K59" s="41" t="str">
        <f>IFERROR(__xludf.DUMMYFUNCTION("""COMPUTED_VALUE"""),"")</f>
        <v/>
      </c>
      <c r="L59" s="42" t="s">
        <v>79</v>
      </c>
      <c r="M59" s="42" t="s">
        <v>79</v>
      </c>
    </row>
    <row r="60">
      <c r="A60" s="30"/>
      <c r="B60" s="37" t="s">
        <v>79</v>
      </c>
      <c r="E60" s="21" t="s">
        <v>79</v>
      </c>
      <c r="F60" s="40"/>
      <c r="G60" s="4"/>
      <c r="H60" s="4"/>
      <c r="K60" s="41" t="str">
        <f>IFERROR(__xludf.DUMMYFUNCTION("""COMPUTED_VALUE"""),"")</f>
        <v/>
      </c>
      <c r="L60" s="42" t="s">
        <v>79</v>
      </c>
      <c r="M60" s="42" t="s">
        <v>79</v>
      </c>
    </row>
    <row r="61">
      <c r="A61" s="30"/>
      <c r="B61" s="37" t="s">
        <v>79</v>
      </c>
      <c r="E61" s="21" t="s">
        <v>79</v>
      </c>
      <c r="F61" s="40"/>
      <c r="G61" s="4"/>
      <c r="H61" s="4"/>
      <c r="K61" s="41" t="str">
        <f>IFERROR(__xludf.DUMMYFUNCTION("""COMPUTED_VALUE"""),"")</f>
        <v/>
      </c>
      <c r="L61" s="42" t="s">
        <v>79</v>
      </c>
      <c r="M61" s="42" t="s">
        <v>79</v>
      </c>
    </row>
    <row r="62">
      <c r="A62" s="30"/>
      <c r="B62" s="37" t="s">
        <v>79</v>
      </c>
      <c r="E62" s="21" t="s">
        <v>79</v>
      </c>
      <c r="F62" s="40"/>
      <c r="G62" s="4"/>
      <c r="H62" s="4"/>
      <c r="K62" s="41" t="str">
        <f>IFERROR(__xludf.DUMMYFUNCTION("""COMPUTED_VALUE"""),"")</f>
        <v/>
      </c>
      <c r="L62" s="42" t="s">
        <v>79</v>
      </c>
      <c r="M62" s="42" t="s">
        <v>79</v>
      </c>
    </row>
    <row r="63">
      <c r="A63" s="30"/>
      <c r="B63" s="37" t="s">
        <v>79</v>
      </c>
      <c r="E63" s="21" t="s">
        <v>79</v>
      </c>
      <c r="F63" s="40"/>
      <c r="G63" s="4"/>
      <c r="H63" s="4"/>
      <c r="K63" s="41" t="str">
        <f>IFERROR(__xludf.DUMMYFUNCTION("""COMPUTED_VALUE"""),"")</f>
        <v/>
      </c>
      <c r="L63" s="42" t="s">
        <v>79</v>
      </c>
      <c r="M63" s="42" t="s">
        <v>79</v>
      </c>
    </row>
    <row r="64">
      <c r="A64" s="30"/>
      <c r="B64" s="37" t="s">
        <v>79</v>
      </c>
      <c r="E64" s="21" t="s">
        <v>79</v>
      </c>
      <c r="F64" s="40"/>
      <c r="G64" s="4"/>
      <c r="H64" s="4"/>
      <c r="K64" s="41" t="str">
        <f>IFERROR(__xludf.DUMMYFUNCTION("""COMPUTED_VALUE"""),"")</f>
        <v/>
      </c>
      <c r="L64" s="42" t="s">
        <v>79</v>
      </c>
      <c r="M64" s="42" t="s">
        <v>79</v>
      </c>
    </row>
    <row r="65">
      <c r="A65" s="30"/>
      <c r="B65" s="37" t="s">
        <v>79</v>
      </c>
      <c r="E65" s="21" t="s">
        <v>79</v>
      </c>
      <c r="F65" s="40"/>
      <c r="G65" s="4"/>
      <c r="H65" s="4"/>
      <c r="K65" s="41" t="str">
        <f>IFERROR(__xludf.DUMMYFUNCTION("""COMPUTED_VALUE"""),"")</f>
        <v/>
      </c>
      <c r="L65" s="42" t="s">
        <v>79</v>
      </c>
      <c r="M65" s="42" t="s">
        <v>79</v>
      </c>
    </row>
    <row r="66">
      <c r="A66" s="30"/>
      <c r="B66" s="37" t="s">
        <v>79</v>
      </c>
      <c r="E66" s="21" t="s">
        <v>79</v>
      </c>
      <c r="F66" s="40"/>
      <c r="G66" s="4"/>
      <c r="H66" s="4"/>
      <c r="K66" s="41" t="str">
        <f>IFERROR(__xludf.DUMMYFUNCTION("""COMPUTED_VALUE"""),"")</f>
        <v/>
      </c>
      <c r="L66" s="42" t="s">
        <v>79</v>
      </c>
      <c r="M66" s="42" t="s">
        <v>79</v>
      </c>
    </row>
    <row r="67">
      <c r="A67" s="30"/>
      <c r="B67" s="37" t="s">
        <v>79</v>
      </c>
      <c r="E67" s="21" t="s">
        <v>79</v>
      </c>
      <c r="F67" s="40"/>
      <c r="G67" s="4"/>
      <c r="H67" s="4"/>
      <c r="K67" s="41" t="str">
        <f>IFERROR(__xludf.DUMMYFUNCTION("""COMPUTED_VALUE"""),"")</f>
        <v/>
      </c>
      <c r="L67" s="42" t="s">
        <v>79</v>
      </c>
      <c r="M67" s="42" t="s">
        <v>79</v>
      </c>
    </row>
    <row r="68">
      <c r="A68" s="30"/>
      <c r="B68" s="37" t="s">
        <v>79</v>
      </c>
      <c r="E68" s="21" t="s">
        <v>79</v>
      </c>
      <c r="F68" s="40"/>
      <c r="G68" s="4"/>
      <c r="H68" s="4"/>
      <c r="K68" s="41" t="str">
        <f>IFERROR(__xludf.DUMMYFUNCTION("""COMPUTED_VALUE"""),"")</f>
        <v/>
      </c>
      <c r="L68" s="42" t="s">
        <v>79</v>
      </c>
      <c r="M68" s="42" t="s">
        <v>79</v>
      </c>
    </row>
    <row r="69">
      <c r="A69" s="30"/>
      <c r="B69" s="37" t="s">
        <v>79</v>
      </c>
      <c r="E69" s="21" t="s">
        <v>79</v>
      </c>
      <c r="F69" s="40"/>
      <c r="G69" s="4"/>
      <c r="H69" s="4"/>
      <c r="K69" s="41" t="str">
        <f>IFERROR(__xludf.DUMMYFUNCTION("""COMPUTED_VALUE"""),"")</f>
        <v/>
      </c>
      <c r="L69" s="42" t="s">
        <v>79</v>
      </c>
      <c r="M69" s="42" t="s">
        <v>79</v>
      </c>
    </row>
    <row r="70">
      <c r="A70" s="30"/>
      <c r="B70" s="37" t="s">
        <v>79</v>
      </c>
      <c r="E70" s="21" t="s">
        <v>79</v>
      </c>
      <c r="F70" s="40"/>
      <c r="G70" s="4"/>
      <c r="H70" s="4"/>
      <c r="K70" s="41" t="str">
        <f>IFERROR(__xludf.DUMMYFUNCTION("""COMPUTED_VALUE"""),"")</f>
        <v/>
      </c>
      <c r="L70" s="42" t="s">
        <v>79</v>
      </c>
      <c r="M70" s="42" t="s">
        <v>79</v>
      </c>
    </row>
    <row r="71">
      <c r="A71" s="30"/>
      <c r="B71" s="37" t="s">
        <v>79</v>
      </c>
      <c r="E71" s="21" t="s">
        <v>79</v>
      </c>
      <c r="F71" s="40"/>
      <c r="G71" s="4"/>
      <c r="H71" s="4"/>
      <c r="K71" s="41" t="str">
        <f>IFERROR(__xludf.DUMMYFUNCTION("""COMPUTED_VALUE"""),"")</f>
        <v/>
      </c>
      <c r="L71" s="42" t="s">
        <v>79</v>
      </c>
      <c r="M71" s="42" t="s">
        <v>79</v>
      </c>
    </row>
    <row r="72">
      <c r="A72" s="30"/>
      <c r="B72" s="37" t="s">
        <v>79</v>
      </c>
      <c r="E72" s="21" t="s">
        <v>79</v>
      </c>
      <c r="F72" s="40"/>
      <c r="G72" s="4"/>
      <c r="H72" s="4"/>
      <c r="K72" s="41" t="str">
        <f>IFERROR(__xludf.DUMMYFUNCTION("""COMPUTED_VALUE"""),"")</f>
        <v/>
      </c>
      <c r="L72" s="42" t="s">
        <v>79</v>
      </c>
      <c r="M72" s="42" t="s">
        <v>79</v>
      </c>
    </row>
    <row r="73">
      <c r="A73" s="30"/>
      <c r="B73" s="37" t="s">
        <v>79</v>
      </c>
      <c r="E73" s="21" t="s">
        <v>79</v>
      </c>
      <c r="F73" s="40"/>
      <c r="G73" s="4"/>
      <c r="H73" s="4"/>
      <c r="K73" s="41" t="str">
        <f>IFERROR(__xludf.DUMMYFUNCTION("""COMPUTED_VALUE"""),"")</f>
        <v/>
      </c>
      <c r="L73" s="42" t="s">
        <v>79</v>
      </c>
      <c r="M73" s="42" t="s">
        <v>79</v>
      </c>
    </row>
    <row r="74">
      <c r="A74" s="30"/>
      <c r="B74" s="37" t="s">
        <v>79</v>
      </c>
      <c r="E74" s="21" t="s">
        <v>79</v>
      </c>
      <c r="F74" s="40"/>
      <c r="G74" s="4"/>
      <c r="H74" s="4"/>
      <c r="K74" s="41" t="str">
        <f>IFERROR(__xludf.DUMMYFUNCTION("""COMPUTED_VALUE"""),"")</f>
        <v/>
      </c>
      <c r="L74" s="42" t="s">
        <v>79</v>
      </c>
      <c r="M74" s="42" t="s">
        <v>79</v>
      </c>
    </row>
    <row r="75">
      <c r="A75" s="30"/>
      <c r="B75" s="37" t="s">
        <v>79</v>
      </c>
      <c r="E75" s="21" t="s">
        <v>79</v>
      </c>
      <c r="F75" s="40"/>
      <c r="G75" s="4"/>
      <c r="H75" s="4"/>
      <c r="K75" s="41" t="str">
        <f>IFERROR(__xludf.DUMMYFUNCTION("""COMPUTED_VALUE"""),"")</f>
        <v/>
      </c>
      <c r="L75" s="42" t="s">
        <v>79</v>
      </c>
      <c r="M75" s="42" t="s">
        <v>79</v>
      </c>
    </row>
    <row r="76">
      <c r="A76" s="30"/>
      <c r="B76" s="37" t="s">
        <v>79</v>
      </c>
      <c r="E76" s="21" t="s">
        <v>79</v>
      </c>
      <c r="F76" s="40"/>
      <c r="G76" s="4"/>
      <c r="H76" s="4"/>
      <c r="K76" s="41" t="str">
        <f>IFERROR(__xludf.DUMMYFUNCTION("""COMPUTED_VALUE"""),"")</f>
        <v/>
      </c>
      <c r="L76" s="42" t="s">
        <v>79</v>
      </c>
      <c r="M76" s="42" t="s">
        <v>79</v>
      </c>
    </row>
    <row r="77">
      <c r="A77" s="30"/>
      <c r="B77" s="37" t="s">
        <v>79</v>
      </c>
      <c r="E77" s="21" t="s">
        <v>79</v>
      </c>
      <c r="F77" s="40"/>
      <c r="G77" s="4"/>
      <c r="H77" s="4"/>
      <c r="K77" s="41" t="str">
        <f>IFERROR(__xludf.DUMMYFUNCTION("""COMPUTED_VALUE"""),"")</f>
        <v/>
      </c>
      <c r="L77" s="42" t="s">
        <v>79</v>
      </c>
      <c r="M77" s="42" t="s">
        <v>79</v>
      </c>
    </row>
    <row r="78">
      <c r="A78" s="30"/>
      <c r="B78" s="37" t="s">
        <v>79</v>
      </c>
      <c r="E78" s="21" t="s">
        <v>79</v>
      </c>
      <c r="F78" s="40"/>
      <c r="G78" s="4"/>
      <c r="H78" s="4"/>
      <c r="K78" s="41" t="str">
        <f>IFERROR(__xludf.DUMMYFUNCTION("""COMPUTED_VALUE"""),"")</f>
        <v/>
      </c>
      <c r="L78" s="42" t="s">
        <v>79</v>
      </c>
      <c r="M78" s="42" t="s">
        <v>79</v>
      </c>
    </row>
    <row r="79">
      <c r="A79" s="30"/>
      <c r="B79" s="37" t="s">
        <v>79</v>
      </c>
      <c r="E79" s="21" t="s">
        <v>79</v>
      </c>
      <c r="F79" s="40"/>
      <c r="G79" s="4"/>
      <c r="H79" s="4"/>
      <c r="K79" s="41" t="str">
        <f>IFERROR(__xludf.DUMMYFUNCTION("""COMPUTED_VALUE"""),"")</f>
        <v/>
      </c>
      <c r="L79" s="42" t="s">
        <v>79</v>
      </c>
      <c r="M79" s="42" t="s">
        <v>79</v>
      </c>
    </row>
    <row r="80">
      <c r="A80" s="30"/>
      <c r="B80" s="37" t="s">
        <v>79</v>
      </c>
      <c r="E80" s="21" t="s">
        <v>79</v>
      </c>
      <c r="F80" s="40"/>
      <c r="G80" s="4"/>
      <c r="H80" s="4"/>
      <c r="K80" s="41" t="str">
        <f>IFERROR(__xludf.DUMMYFUNCTION("""COMPUTED_VALUE"""),"")</f>
        <v/>
      </c>
      <c r="L80" s="42" t="s">
        <v>79</v>
      </c>
      <c r="M80" s="42" t="s">
        <v>79</v>
      </c>
    </row>
    <row r="81">
      <c r="A81" s="30"/>
      <c r="B81" s="37" t="s">
        <v>79</v>
      </c>
      <c r="E81" s="21" t="s">
        <v>79</v>
      </c>
      <c r="F81" s="40"/>
      <c r="G81" s="4"/>
      <c r="H81" s="4"/>
      <c r="K81" s="41" t="str">
        <f>IFERROR(__xludf.DUMMYFUNCTION("""COMPUTED_VALUE"""),"")</f>
        <v/>
      </c>
      <c r="L81" s="42" t="s">
        <v>79</v>
      </c>
      <c r="M81" s="42" t="s">
        <v>79</v>
      </c>
    </row>
    <row r="82">
      <c r="A82" s="30"/>
      <c r="B82" s="37" t="s">
        <v>79</v>
      </c>
      <c r="E82" s="21" t="s">
        <v>79</v>
      </c>
      <c r="F82" s="40"/>
      <c r="G82" s="4"/>
      <c r="H82" s="4"/>
      <c r="K82" s="41" t="str">
        <f>IFERROR(__xludf.DUMMYFUNCTION("""COMPUTED_VALUE"""),"")</f>
        <v/>
      </c>
      <c r="L82" s="42" t="s">
        <v>79</v>
      </c>
      <c r="M82" s="42" t="s">
        <v>79</v>
      </c>
    </row>
    <row r="83">
      <c r="A83" s="30"/>
      <c r="B83" s="37" t="s">
        <v>79</v>
      </c>
      <c r="E83" s="21" t="s">
        <v>79</v>
      </c>
      <c r="F83" s="40"/>
      <c r="G83" s="4"/>
      <c r="H83" s="4"/>
      <c r="K83" s="41" t="str">
        <f>IFERROR(__xludf.DUMMYFUNCTION("""COMPUTED_VALUE"""),"")</f>
        <v/>
      </c>
      <c r="L83" s="42" t="s">
        <v>79</v>
      </c>
      <c r="M83" s="42" t="s">
        <v>79</v>
      </c>
    </row>
    <row r="84">
      <c r="A84" s="30"/>
      <c r="B84" s="37" t="s">
        <v>79</v>
      </c>
      <c r="E84" s="21" t="s">
        <v>79</v>
      </c>
      <c r="F84" s="40"/>
      <c r="G84" s="4"/>
      <c r="H84" s="4"/>
      <c r="K84" s="41" t="str">
        <f>IFERROR(__xludf.DUMMYFUNCTION("""COMPUTED_VALUE"""),"")</f>
        <v/>
      </c>
      <c r="L84" s="42" t="s">
        <v>79</v>
      </c>
      <c r="M84" s="42" t="s">
        <v>79</v>
      </c>
    </row>
    <row r="85">
      <c r="A85" s="30"/>
      <c r="B85" s="37" t="s">
        <v>79</v>
      </c>
      <c r="E85" s="21" t="s">
        <v>79</v>
      </c>
      <c r="F85" s="40"/>
      <c r="G85" s="4"/>
      <c r="H85" s="4"/>
      <c r="K85" s="41" t="str">
        <f>IFERROR(__xludf.DUMMYFUNCTION("""COMPUTED_VALUE"""),"")</f>
        <v/>
      </c>
      <c r="L85" s="42" t="s">
        <v>79</v>
      </c>
      <c r="M85" s="42" t="s">
        <v>79</v>
      </c>
    </row>
    <row r="86">
      <c r="A86" s="30"/>
      <c r="B86" s="37" t="s">
        <v>79</v>
      </c>
      <c r="E86" s="21" t="s">
        <v>79</v>
      </c>
      <c r="F86" s="40"/>
      <c r="G86" s="4"/>
      <c r="H86" s="4"/>
      <c r="K86" s="41" t="str">
        <f>IFERROR(__xludf.DUMMYFUNCTION("""COMPUTED_VALUE"""),"")</f>
        <v/>
      </c>
      <c r="L86" s="42" t="s">
        <v>79</v>
      </c>
      <c r="M86" s="42" t="s">
        <v>79</v>
      </c>
    </row>
    <row r="87">
      <c r="A87" s="30"/>
      <c r="B87" s="37" t="s">
        <v>79</v>
      </c>
      <c r="E87" s="21" t="s">
        <v>79</v>
      </c>
      <c r="F87" s="40"/>
      <c r="G87" s="4"/>
      <c r="H87" s="4"/>
      <c r="K87" s="41" t="str">
        <f>IFERROR(__xludf.DUMMYFUNCTION("""COMPUTED_VALUE"""),"")</f>
        <v/>
      </c>
      <c r="L87" s="42" t="s">
        <v>79</v>
      </c>
      <c r="M87" s="42" t="s">
        <v>79</v>
      </c>
    </row>
    <row r="88">
      <c r="A88" s="30"/>
      <c r="B88" s="37" t="s">
        <v>79</v>
      </c>
      <c r="E88" s="21" t="s">
        <v>79</v>
      </c>
      <c r="F88" s="40"/>
      <c r="G88" s="4"/>
      <c r="H88" s="4"/>
      <c r="K88" s="41" t="str">
        <f>IFERROR(__xludf.DUMMYFUNCTION("""COMPUTED_VALUE"""),"")</f>
        <v/>
      </c>
      <c r="L88" s="42" t="s">
        <v>79</v>
      </c>
      <c r="M88" s="42" t="s">
        <v>79</v>
      </c>
    </row>
    <row r="89">
      <c r="A89" s="30"/>
      <c r="B89" s="37" t="s">
        <v>79</v>
      </c>
      <c r="E89" s="21" t="s">
        <v>79</v>
      </c>
      <c r="F89" s="40"/>
      <c r="G89" s="4"/>
      <c r="H89" s="4"/>
      <c r="K89" s="41" t="str">
        <f>IFERROR(__xludf.DUMMYFUNCTION("""COMPUTED_VALUE"""),"")</f>
        <v/>
      </c>
      <c r="L89" s="42" t="s">
        <v>79</v>
      </c>
      <c r="M89" s="42" t="s">
        <v>79</v>
      </c>
    </row>
    <row r="90">
      <c r="A90" s="30"/>
      <c r="B90" s="37" t="s">
        <v>79</v>
      </c>
      <c r="E90" s="21" t="s">
        <v>79</v>
      </c>
      <c r="F90" s="40"/>
      <c r="G90" s="4"/>
      <c r="H90" s="4"/>
      <c r="K90" s="41" t="str">
        <f>IFERROR(__xludf.DUMMYFUNCTION("""COMPUTED_VALUE"""),"")</f>
        <v/>
      </c>
      <c r="L90" s="42" t="s">
        <v>79</v>
      </c>
      <c r="M90" s="42" t="s">
        <v>79</v>
      </c>
    </row>
    <row r="91">
      <c r="A91" s="30"/>
      <c r="B91" s="37" t="s">
        <v>79</v>
      </c>
      <c r="E91" s="21" t="s">
        <v>79</v>
      </c>
      <c r="F91" s="40"/>
      <c r="G91" s="4"/>
      <c r="H91" s="4"/>
      <c r="K91" s="41" t="str">
        <f>IFERROR(__xludf.DUMMYFUNCTION("""COMPUTED_VALUE"""),"")</f>
        <v/>
      </c>
      <c r="L91" s="42" t="s">
        <v>79</v>
      </c>
      <c r="M91" s="42" t="s">
        <v>79</v>
      </c>
    </row>
    <row r="92">
      <c r="A92" s="30"/>
      <c r="B92" s="37" t="s">
        <v>79</v>
      </c>
      <c r="E92" s="21" t="s">
        <v>79</v>
      </c>
      <c r="F92" s="40"/>
      <c r="G92" s="4"/>
      <c r="H92" s="4"/>
      <c r="K92" s="41" t="str">
        <f>IFERROR(__xludf.DUMMYFUNCTION("""COMPUTED_VALUE"""),"")</f>
        <v/>
      </c>
      <c r="L92" s="42" t="s">
        <v>79</v>
      </c>
      <c r="M92" s="42" t="s">
        <v>79</v>
      </c>
    </row>
    <row r="93">
      <c r="A93" s="30"/>
      <c r="B93" s="37" t="s">
        <v>79</v>
      </c>
      <c r="E93" s="21" t="s">
        <v>79</v>
      </c>
      <c r="F93" s="40"/>
      <c r="G93" s="4"/>
      <c r="H93" s="4"/>
      <c r="K93" s="41" t="str">
        <f>IFERROR(__xludf.DUMMYFUNCTION("""COMPUTED_VALUE"""),"")</f>
        <v/>
      </c>
      <c r="L93" s="42" t="s">
        <v>79</v>
      </c>
      <c r="M93" s="42" t="s">
        <v>79</v>
      </c>
    </row>
    <row r="94">
      <c r="A94" s="30"/>
      <c r="B94" s="37" t="s">
        <v>79</v>
      </c>
      <c r="E94" s="21" t="s">
        <v>79</v>
      </c>
      <c r="F94" s="40"/>
      <c r="G94" s="4"/>
      <c r="H94" s="4"/>
      <c r="K94" s="41" t="str">
        <f>IFERROR(__xludf.DUMMYFUNCTION("""COMPUTED_VALUE"""),"")</f>
        <v/>
      </c>
      <c r="L94" s="42" t="s">
        <v>79</v>
      </c>
      <c r="M94" s="42" t="s">
        <v>79</v>
      </c>
    </row>
    <row r="95">
      <c r="A95" s="30"/>
      <c r="B95" s="37" t="s">
        <v>79</v>
      </c>
      <c r="E95" s="21" t="s">
        <v>79</v>
      </c>
      <c r="F95" s="40"/>
      <c r="G95" s="4"/>
      <c r="H95" s="4"/>
      <c r="K95" s="41" t="str">
        <f>IFERROR(__xludf.DUMMYFUNCTION("""COMPUTED_VALUE"""),"")</f>
        <v/>
      </c>
      <c r="L95" s="42" t="s">
        <v>79</v>
      </c>
      <c r="M95" s="42" t="s">
        <v>79</v>
      </c>
    </row>
    <row r="96">
      <c r="A96" s="30"/>
      <c r="B96" s="37" t="s">
        <v>79</v>
      </c>
      <c r="E96" s="21" t="s">
        <v>79</v>
      </c>
      <c r="F96" s="40"/>
      <c r="G96" s="4"/>
      <c r="H96" s="4"/>
      <c r="K96" s="41" t="str">
        <f>IFERROR(__xludf.DUMMYFUNCTION("""COMPUTED_VALUE"""),"")</f>
        <v/>
      </c>
      <c r="L96" s="42" t="s">
        <v>79</v>
      </c>
      <c r="M96" s="42" t="s">
        <v>79</v>
      </c>
    </row>
    <row r="97">
      <c r="A97" s="30"/>
      <c r="B97" s="37" t="s">
        <v>79</v>
      </c>
      <c r="E97" s="21" t="s">
        <v>79</v>
      </c>
      <c r="F97" s="40"/>
      <c r="G97" s="4"/>
      <c r="H97" s="4"/>
      <c r="K97" s="41" t="str">
        <f>IFERROR(__xludf.DUMMYFUNCTION("""COMPUTED_VALUE"""),"")</f>
        <v/>
      </c>
      <c r="L97" s="42" t="s">
        <v>79</v>
      </c>
      <c r="M97" s="42" t="s">
        <v>79</v>
      </c>
    </row>
    <row r="98">
      <c r="A98" s="30"/>
      <c r="B98" s="37" t="s">
        <v>79</v>
      </c>
      <c r="E98" s="21" t="s">
        <v>79</v>
      </c>
      <c r="F98" s="40"/>
      <c r="G98" s="4"/>
      <c r="H98" s="4"/>
      <c r="K98" s="41" t="str">
        <f>IFERROR(__xludf.DUMMYFUNCTION("""COMPUTED_VALUE"""),"")</f>
        <v/>
      </c>
      <c r="L98" s="42" t="s">
        <v>79</v>
      </c>
      <c r="M98" s="42" t="s">
        <v>79</v>
      </c>
    </row>
    <row r="99">
      <c r="A99" s="30"/>
      <c r="B99" s="37" t="s">
        <v>79</v>
      </c>
      <c r="E99" s="21" t="s">
        <v>79</v>
      </c>
      <c r="F99" s="40"/>
      <c r="G99" s="4"/>
      <c r="H99" s="4"/>
      <c r="K99" s="41" t="str">
        <f>IFERROR(__xludf.DUMMYFUNCTION("""COMPUTED_VALUE"""),"")</f>
        <v/>
      </c>
      <c r="L99" s="42" t="s">
        <v>79</v>
      </c>
      <c r="M99" s="42" t="s">
        <v>79</v>
      </c>
    </row>
    <row r="100">
      <c r="A100" s="30"/>
      <c r="B100" s="37" t="s">
        <v>79</v>
      </c>
      <c r="E100" s="21" t="s">
        <v>79</v>
      </c>
      <c r="F100" s="40"/>
      <c r="G100" s="4"/>
      <c r="H100" s="4"/>
      <c r="K100" s="41" t="str">
        <f>IFERROR(__xludf.DUMMYFUNCTION("""COMPUTED_VALUE"""),"")</f>
        <v/>
      </c>
      <c r="L100" s="42" t="s">
        <v>79</v>
      </c>
      <c r="M100" s="42" t="s">
        <v>79</v>
      </c>
    </row>
    <row r="101">
      <c r="A101" s="30"/>
      <c r="B101" s="37" t="s">
        <v>79</v>
      </c>
      <c r="E101" s="21" t="s">
        <v>79</v>
      </c>
      <c r="F101" s="40"/>
      <c r="G101" s="4"/>
      <c r="H101" s="4"/>
      <c r="K101" s="41" t="str">
        <f>IFERROR(__xludf.DUMMYFUNCTION("""COMPUTED_VALUE"""),"")</f>
        <v/>
      </c>
      <c r="L101" s="42" t="s">
        <v>79</v>
      </c>
      <c r="M101" s="42" t="s">
        <v>79</v>
      </c>
    </row>
    <row r="102">
      <c r="A102" s="30"/>
      <c r="B102" s="37" t="s">
        <v>79</v>
      </c>
      <c r="E102" s="21" t="s">
        <v>79</v>
      </c>
      <c r="F102" s="40"/>
      <c r="G102" s="4"/>
      <c r="H102" s="4"/>
      <c r="K102" s="41" t="str">
        <f>IFERROR(__xludf.DUMMYFUNCTION("""COMPUTED_VALUE"""),"")</f>
        <v/>
      </c>
      <c r="L102" s="42" t="s">
        <v>79</v>
      </c>
      <c r="M102" s="42" t="s">
        <v>79</v>
      </c>
    </row>
    <row r="103">
      <c r="A103" s="30"/>
      <c r="B103" s="37" t="s">
        <v>79</v>
      </c>
      <c r="E103" s="21" t="s">
        <v>79</v>
      </c>
      <c r="F103" s="40"/>
      <c r="G103" s="4"/>
      <c r="H103" s="4"/>
      <c r="K103" s="41" t="str">
        <f>IFERROR(__xludf.DUMMYFUNCTION("""COMPUTED_VALUE"""),"")</f>
        <v/>
      </c>
      <c r="L103" s="42" t="s">
        <v>79</v>
      </c>
      <c r="M103" s="42" t="s">
        <v>79</v>
      </c>
    </row>
    <row r="104">
      <c r="A104" s="30"/>
      <c r="B104" s="37" t="s">
        <v>79</v>
      </c>
      <c r="E104" s="21" t="s">
        <v>79</v>
      </c>
      <c r="F104" s="40"/>
      <c r="G104" s="4"/>
      <c r="H104" s="4"/>
      <c r="K104" s="41" t="str">
        <f>IFERROR(__xludf.DUMMYFUNCTION("""COMPUTED_VALUE"""),"")</f>
        <v/>
      </c>
      <c r="L104" s="42" t="s">
        <v>79</v>
      </c>
      <c r="M104" s="42" t="s">
        <v>79</v>
      </c>
    </row>
    <row r="105">
      <c r="A105" s="30"/>
      <c r="B105" s="37" t="s">
        <v>79</v>
      </c>
      <c r="E105" s="21" t="s">
        <v>79</v>
      </c>
      <c r="F105" s="40"/>
      <c r="G105" s="4"/>
      <c r="H105" s="4"/>
      <c r="K105" s="41" t="str">
        <f>IFERROR(__xludf.DUMMYFUNCTION("""COMPUTED_VALUE"""),"")</f>
        <v/>
      </c>
      <c r="L105" s="42" t="s">
        <v>79</v>
      </c>
      <c r="M105" s="42" t="s">
        <v>79</v>
      </c>
    </row>
    <row r="106">
      <c r="A106" s="30"/>
      <c r="B106" s="37" t="s">
        <v>79</v>
      </c>
      <c r="E106" s="21" t="s">
        <v>79</v>
      </c>
      <c r="F106" s="40"/>
      <c r="G106" s="4"/>
      <c r="H106" s="4"/>
      <c r="K106" s="41" t="str">
        <f>IFERROR(__xludf.DUMMYFUNCTION("""COMPUTED_VALUE"""),"")</f>
        <v/>
      </c>
      <c r="L106" s="42" t="s">
        <v>79</v>
      </c>
      <c r="M106" s="42" t="s">
        <v>79</v>
      </c>
    </row>
    <row r="107">
      <c r="A107" s="30"/>
      <c r="B107" s="37" t="s">
        <v>79</v>
      </c>
      <c r="E107" s="21" t="s">
        <v>79</v>
      </c>
      <c r="F107" s="40"/>
      <c r="G107" s="4"/>
      <c r="H107" s="4"/>
      <c r="K107" s="41" t="str">
        <f>IFERROR(__xludf.DUMMYFUNCTION("""COMPUTED_VALUE"""),"")</f>
        <v/>
      </c>
      <c r="L107" s="42" t="s">
        <v>79</v>
      </c>
      <c r="M107" s="42" t="s">
        <v>79</v>
      </c>
    </row>
    <row r="108">
      <c r="A108" s="30"/>
      <c r="B108" s="37" t="s">
        <v>79</v>
      </c>
      <c r="E108" s="21" t="s">
        <v>79</v>
      </c>
      <c r="F108" s="40"/>
      <c r="G108" s="4"/>
      <c r="H108" s="4"/>
      <c r="K108" s="41" t="str">
        <f>IFERROR(__xludf.DUMMYFUNCTION("""COMPUTED_VALUE"""),"")</f>
        <v/>
      </c>
      <c r="L108" s="42" t="s">
        <v>79</v>
      </c>
      <c r="M108" s="42" t="s">
        <v>79</v>
      </c>
    </row>
    <row r="109">
      <c r="A109" s="30"/>
      <c r="B109" s="37" t="s">
        <v>79</v>
      </c>
      <c r="E109" s="21" t="s">
        <v>79</v>
      </c>
      <c r="F109" s="40"/>
      <c r="G109" s="4"/>
      <c r="H109" s="4"/>
      <c r="K109" s="41" t="str">
        <f>IFERROR(__xludf.DUMMYFUNCTION("""COMPUTED_VALUE"""),"")</f>
        <v/>
      </c>
      <c r="L109" s="42" t="s">
        <v>79</v>
      </c>
      <c r="M109" s="42" t="s">
        <v>79</v>
      </c>
    </row>
    <row r="110">
      <c r="A110" s="30"/>
      <c r="B110" s="37" t="s">
        <v>79</v>
      </c>
      <c r="E110" s="21" t="s">
        <v>79</v>
      </c>
      <c r="F110" s="40"/>
      <c r="G110" s="4"/>
      <c r="H110" s="4"/>
      <c r="K110" s="41" t="str">
        <f>IFERROR(__xludf.DUMMYFUNCTION("""COMPUTED_VALUE"""),"")</f>
        <v/>
      </c>
      <c r="L110" s="42" t="s">
        <v>79</v>
      </c>
      <c r="M110" s="42" t="s">
        <v>79</v>
      </c>
    </row>
    <row r="111">
      <c r="A111" s="30"/>
      <c r="B111" s="37" t="s">
        <v>79</v>
      </c>
      <c r="E111" s="21" t="s">
        <v>79</v>
      </c>
      <c r="F111" s="40"/>
      <c r="G111" s="4"/>
      <c r="H111" s="4"/>
      <c r="K111" s="41" t="str">
        <f>IFERROR(__xludf.DUMMYFUNCTION("""COMPUTED_VALUE"""),"")</f>
        <v/>
      </c>
      <c r="L111" s="42" t="s">
        <v>79</v>
      </c>
      <c r="M111" s="42" t="s">
        <v>79</v>
      </c>
    </row>
    <row r="112">
      <c r="A112" s="30"/>
      <c r="B112" s="37" t="s">
        <v>79</v>
      </c>
      <c r="E112" s="21" t="s">
        <v>79</v>
      </c>
      <c r="F112" s="40"/>
      <c r="G112" s="4"/>
      <c r="H112" s="4"/>
      <c r="K112" s="41" t="str">
        <f>IFERROR(__xludf.DUMMYFUNCTION("""COMPUTED_VALUE"""),"")</f>
        <v/>
      </c>
      <c r="L112" s="42" t="s">
        <v>79</v>
      </c>
      <c r="M112" s="42" t="s">
        <v>79</v>
      </c>
    </row>
    <row r="113">
      <c r="A113" s="30"/>
      <c r="B113" s="37" t="s">
        <v>79</v>
      </c>
      <c r="E113" s="21" t="s">
        <v>79</v>
      </c>
      <c r="F113" s="40"/>
      <c r="G113" s="4"/>
      <c r="H113" s="4"/>
      <c r="K113" s="41" t="str">
        <f>IFERROR(__xludf.DUMMYFUNCTION("""COMPUTED_VALUE"""),"")</f>
        <v/>
      </c>
      <c r="L113" s="42" t="s">
        <v>79</v>
      </c>
      <c r="M113" s="42" t="s">
        <v>79</v>
      </c>
    </row>
    <row r="114">
      <c r="A114" s="30"/>
      <c r="B114" s="37" t="s">
        <v>79</v>
      </c>
      <c r="E114" s="21" t="s">
        <v>79</v>
      </c>
      <c r="F114" s="40"/>
      <c r="G114" s="4"/>
      <c r="H114" s="4"/>
      <c r="K114" s="41" t="str">
        <f>IFERROR(__xludf.DUMMYFUNCTION("""COMPUTED_VALUE"""),"")</f>
        <v/>
      </c>
      <c r="L114" s="42" t="s">
        <v>79</v>
      </c>
      <c r="M114" s="42" t="s">
        <v>79</v>
      </c>
    </row>
    <row r="115">
      <c r="A115" s="30"/>
      <c r="B115" s="37" t="s">
        <v>79</v>
      </c>
      <c r="E115" s="21" t="s">
        <v>79</v>
      </c>
      <c r="F115" s="40"/>
      <c r="G115" s="4"/>
      <c r="H115" s="4"/>
      <c r="K115" s="41" t="str">
        <f>IFERROR(__xludf.DUMMYFUNCTION("""COMPUTED_VALUE"""),"")</f>
        <v/>
      </c>
      <c r="L115" s="42" t="s">
        <v>79</v>
      </c>
      <c r="M115" s="42" t="s">
        <v>79</v>
      </c>
    </row>
    <row r="116">
      <c r="A116" s="30"/>
      <c r="B116" s="37" t="s">
        <v>79</v>
      </c>
      <c r="E116" s="21" t="s">
        <v>79</v>
      </c>
      <c r="F116" s="40"/>
      <c r="G116" s="4"/>
      <c r="H116" s="4"/>
      <c r="K116" s="41" t="str">
        <f>IFERROR(__xludf.DUMMYFUNCTION("""COMPUTED_VALUE"""),"")</f>
        <v/>
      </c>
      <c r="L116" s="42" t="s">
        <v>79</v>
      </c>
      <c r="M116" s="42" t="s">
        <v>79</v>
      </c>
    </row>
    <row r="117">
      <c r="A117" s="30"/>
      <c r="B117" s="37" t="s">
        <v>79</v>
      </c>
      <c r="E117" s="21" t="s">
        <v>79</v>
      </c>
      <c r="F117" s="40"/>
      <c r="G117" s="4"/>
      <c r="H117" s="4"/>
      <c r="K117" s="41" t="str">
        <f>IFERROR(__xludf.DUMMYFUNCTION("""COMPUTED_VALUE"""),"")</f>
        <v/>
      </c>
      <c r="L117" s="42" t="s">
        <v>79</v>
      </c>
      <c r="M117" s="42" t="s">
        <v>79</v>
      </c>
    </row>
    <row r="118">
      <c r="A118" s="30"/>
      <c r="B118" s="37" t="s">
        <v>79</v>
      </c>
      <c r="E118" s="21" t="s">
        <v>79</v>
      </c>
      <c r="F118" s="40"/>
      <c r="G118" s="4"/>
      <c r="H118" s="4"/>
      <c r="K118" s="41" t="str">
        <f>IFERROR(__xludf.DUMMYFUNCTION("""COMPUTED_VALUE"""),"")</f>
        <v/>
      </c>
      <c r="L118" s="42" t="s">
        <v>79</v>
      </c>
      <c r="M118" s="42" t="s">
        <v>79</v>
      </c>
    </row>
    <row r="119">
      <c r="A119" s="30"/>
      <c r="B119" s="37" t="s">
        <v>79</v>
      </c>
      <c r="E119" s="21" t="s">
        <v>79</v>
      </c>
      <c r="F119" s="40"/>
      <c r="G119" s="4"/>
      <c r="H119" s="4"/>
      <c r="K119" s="41" t="str">
        <f>IFERROR(__xludf.DUMMYFUNCTION("""COMPUTED_VALUE"""),"")</f>
        <v/>
      </c>
      <c r="L119" s="42" t="s">
        <v>79</v>
      </c>
      <c r="M119" s="42" t="s">
        <v>79</v>
      </c>
    </row>
    <row r="120">
      <c r="A120" s="30"/>
      <c r="B120" s="37" t="s">
        <v>79</v>
      </c>
      <c r="E120" s="21" t="s">
        <v>79</v>
      </c>
      <c r="F120" s="40"/>
      <c r="G120" s="4"/>
      <c r="H120" s="4"/>
      <c r="K120" s="41" t="str">
        <f>IFERROR(__xludf.DUMMYFUNCTION("""COMPUTED_VALUE"""),"")</f>
        <v/>
      </c>
      <c r="L120" s="42" t="s">
        <v>79</v>
      </c>
      <c r="M120" s="42" t="s">
        <v>79</v>
      </c>
    </row>
    <row r="121">
      <c r="A121" s="30"/>
      <c r="B121" s="37" t="s">
        <v>79</v>
      </c>
      <c r="E121" s="21" t="s">
        <v>79</v>
      </c>
      <c r="F121" s="40"/>
      <c r="G121" s="4"/>
      <c r="H121" s="4"/>
      <c r="K121" s="41" t="str">
        <f>IFERROR(__xludf.DUMMYFUNCTION("""COMPUTED_VALUE"""),"")</f>
        <v/>
      </c>
      <c r="L121" s="42" t="s">
        <v>79</v>
      </c>
      <c r="M121" s="42" t="s">
        <v>79</v>
      </c>
    </row>
    <row r="122">
      <c r="A122" s="30"/>
      <c r="B122" s="37" t="s">
        <v>79</v>
      </c>
      <c r="E122" s="21" t="s">
        <v>79</v>
      </c>
      <c r="F122" s="40"/>
      <c r="G122" s="4"/>
      <c r="H122" s="4"/>
      <c r="K122" s="41" t="str">
        <f>IFERROR(__xludf.DUMMYFUNCTION("""COMPUTED_VALUE"""),"")</f>
        <v/>
      </c>
      <c r="L122" s="42" t="s">
        <v>79</v>
      </c>
      <c r="M122" s="42" t="s">
        <v>79</v>
      </c>
    </row>
    <row r="123">
      <c r="A123" s="30"/>
      <c r="B123" s="37" t="s">
        <v>79</v>
      </c>
      <c r="E123" s="21" t="s">
        <v>79</v>
      </c>
      <c r="F123" s="40"/>
      <c r="G123" s="4"/>
      <c r="H123" s="4"/>
      <c r="K123" s="41" t="str">
        <f>IFERROR(__xludf.DUMMYFUNCTION("""COMPUTED_VALUE"""),"")</f>
        <v/>
      </c>
      <c r="L123" s="42" t="s">
        <v>79</v>
      </c>
      <c r="M123" s="42" t="s">
        <v>79</v>
      </c>
    </row>
    <row r="124">
      <c r="A124" s="30"/>
      <c r="B124" s="37" t="s">
        <v>79</v>
      </c>
      <c r="E124" s="21" t="s">
        <v>79</v>
      </c>
      <c r="F124" s="40"/>
      <c r="G124" s="4"/>
      <c r="H124" s="4"/>
      <c r="K124" s="41" t="str">
        <f>IFERROR(__xludf.DUMMYFUNCTION("""COMPUTED_VALUE"""),"")</f>
        <v/>
      </c>
      <c r="L124" s="42" t="s">
        <v>79</v>
      </c>
      <c r="M124" s="42" t="s">
        <v>79</v>
      </c>
    </row>
    <row r="125">
      <c r="A125" s="30"/>
      <c r="B125" s="37" t="s">
        <v>79</v>
      </c>
      <c r="E125" s="21" t="s">
        <v>79</v>
      </c>
      <c r="F125" s="40"/>
      <c r="G125" s="4"/>
      <c r="H125" s="4"/>
      <c r="K125" s="41" t="str">
        <f>IFERROR(__xludf.DUMMYFUNCTION("""COMPUTED_VALUE"""),"")</f>
        <v/>
      </c>
      <c r="L125" s="42" t="s">
        <v>79</v>
      </c>
      <c r="M125" s="42" t="s">
        <v>79</v>
      </c>
    </row>
    <row r="126">
      <c r="A126" s="30"/>
      <c r="B126" s="37" t="s">
        <v>79</v>
      </c>
      <c r="E126" s="21" t="s">
        <v>79</v>
      </c>
      <c r="F126" s="40"/>
      <c r="G126" s="4"/>
      <c r="H126" s="4"/>
      <c r="K126" s="41" t="str">
        <f>IFERROR(__xludf.DUMMYFUNCTION("""COMPUTED_VALUE"""),"")</f>
        <v/>
      </c>
      <c r="L126" s="42" t="s">
        <v>79</v>
      </c>
      <c r="M126" s="42" t="s">
        <v>79</v>
      </c>
    </row>
    <row r="127">
      <c r="A127" s="30"/>
      <c r="B127" s="37" t="s">
        <v>79</v>
      </c>
      <c r="E127" s="21" t="s">
        <v>79</v>
      </c>
      <c r="F127" s="40"/>
      <c r="G127" s="4"/>
      <c r="H127" s="4"/>
      <c r="K127" s="41" t="str">
        <f>IFERROR(__xludf.DUMMYFUNCTION("""COMPUTED_VALUE"""),"")</f>
        <v/>
      </c>
      <c r="L127" s="42" t="s">
        <v>79</v>
      </c>
      <c r="M127" s="42" t="s">
        <v>79</v>
      </c>
    </row>
    <row r="128">
      <c r="A128" s="30"/>
      <c r="B128" s="37" t="s">
        <v>79</v>
      </c>
      <c r="E128" s="21" t="s">
        <v>79</v>
      </c>
      <c r="F128" s="40"/>
      <c r="G128" s="4"/>
      <c r="H128" s="4"/>
      <c r="K128" s="41" t="str">
        <f>IFERROR(__xludf.DUMMYFUNCTION("""COMPUTED_VALUE"""),"")</f>
        <v/>
      </c>
      <c r="L128" s="42" t="s">
        <v>79</v>
      </c>
      <c r="M128" s="42" t="s">
        <v>79</v>
      </c>
    </row>
    <row r="129">
      <c r="A129" s="30"/>
      <c r="B129" s="37" t="s">
        <v>79</v>
      </c>
      <c r="E129" s="21" t="s">
        <v>79</v>
      </c>
      <c r="F129" s="40"/>
      <c r="G129" s="4"/>
      <c r="H129" s="4"/>
      <c r="K129" s="41" t="str">
        <f>IFERROR(__xludf.DUMMYFUNCTION("""COMPUTED_VALUE"""),"")</f>
        <v/>
      </c>
      <c r="L129" s="42" t="s">
        <v>79</v>
      </c>
      <c r="M129" s="42" t="s">
        <v>79</v>
      </c>
    </row>
    <row r="130">
      <c r="A130" s="30"/>
      <c r="B130" s="37" t="s">
        <v>79</v>
      </c>
      <c r="E130" s="21" t="s">
        <v>79</v>
      </c>
      <c r="F130" s="40"/>
      <c r="G130" s="4"/>
      <c r="H130" s="4"/>
      <c r="K130" s="41" t="str">
        <f>IFERROR(__xludf.DUMMYFUNCTION("""COMPUTED_VALUE"""),"")</f>
        <v/>
      </c>
      <c r="L130" s="42" t="s">
        <v>79</v>
      </c>
      <c r="M130" s="42" t="s">
        <v>79</v>
      </c>
    </row>
    <row r="131">
      <c r="A131" s="30"/>
      <c r="B131" s="37" t="s">
        <v>79</v>
      </c>
      <c r="E131" s="21" t="s">
        <v>79</v>
      </c>
      <c r="F131" s="40"/>
      <c r="G131" s="4"/>
      <c r="H131" s="4"/>
      <c r="K131" s="41" t="str">
        <f>IFERROR(__xludf.DUMMYFUNCTION("""COMPUTED_VALUE"""),"")</f>
        <v/>
      </c>
      <c r="L131" s="42" t="s">
        <v>79</v>
      </c>
      <c r="M131" s="42" t="s">
        <v>79</v>
      </c>
    </row>
    <row r="132">
      <c r="A132" s="30"/>
      <c r="B132" s="37" t="s">
        <v>79</v>
      </c>
      <c r="E132" s="21" t="s">
        <v>79</v>
      </c>
      <c r="F132" s="40"/>
      <c r="G132" s="4"/>
      <c r="H132" s="4"/>
      <c r="K132" s="41" t="str">
        <f>IFERROR(__xludf.DUMMYFUNCTION("""COMPUTED_VALUE"""),"")</f>
        <v/>
      </c>
      <c r="L132" s="42" t="s">
        <v>79</v>
      </c>
      <c r="M132" s="42" t="s">
        <v>79</v>
      </c>
    </row>
    <row r="133">
      <c r="A133" s="30"/>
      <c r="B133" s="37" t="s">
        <v>79</v>
      </c>
      <c r="E133" s="21" t="s">
        <v>79</v>
      </c>
      <c r="F133" s="40"/>
      <c r="G133" s="4"/>
      <c r="H133" s="4"/>
      <c r="K133" s="41" t="str">
        <f>IFERROR(__xludf.DUMMYFUNCTION("""COMPUTED_VALUE"""),"")</f>
        <v/>
      </c>
      <c r="L133" s="42" t="s">
        <v>79</v>
      </c>
      <c r="M133" s="42" t="s">
        <v>79</v>
      </c>
    </row>
    <row r="134">
      <c r="A134" s="30"/>
      <c r="B134" s="37" t="s">
        <v>79</v>
      </c>
      <c r="E134" s="21" t="s">
        <v>79</v>
      </c>
      <c r="F134" s="40"/>
      <c r="G134" s="4"/>
      <c r="H134" s="4"/>
      <c r="K134" s="41" t="str">
        <f>IFERROR(__xludf.DUMMYFUNCTION("""COMPUTED_VALUE"""),"")</f>
        <v/>
      </c>
      <c r="L134" s="42" t="s">
        <v>79</v>
      </c>
      <c r="M134" s="42" t="s">
        <v>79</v>
      </c>
    </row>
    <row r="135">
      <c r="A135" s="30"/>
      <c r="B135" s="37" t="s">
        <v>79</v>
      </c>
      <c r="E135" s="21" t="s">
        <v>79</v>
      </c>
      <c r="F135" s="40"/>
      <c r="G135" s="4"/>
      <c r="H135" s="4"/>
      <c r="K135" s="41" t="str">
        <f>IFERROR(__xludf.DUMMYFUNCTION("""COMPUTED_VALUE"""),"")</f>
        <v/>
      </c>
      <c r="L135" s="42" t="s">
        <v>79</v>
      </c>
      <c r="M135" s="42" t="s">
        <v>79</v>
      </c>
    </row>
    <row r="136">
      <c r="A136" s="30"/>
      <c r="B136" s="37" t="s">
        <v>79</v>
      </c>
      <c r="E136" s="21" t="s">
        <v>79</v>
      </c>
      <c r="F136" s="40"/>
      <c r="G136" s="4"/>
      <c r="H136" s="4"/>
      <c r="K136" s="41" t="str">
        <f>IFERROR(__xludf.DUMMYFUNCTION("""COMPUTED_VALUE"""),"")</f>
        <v/>
      </c>
      <c r="L136" s="42" t="s">
        <v>79</v>
      </c>
      <c r="M136" s="42" t="s">
        <v>79</v>
      </c>
    </row>
    <row r="137">
      <c r="A137" s="30"/>
      <c r="B137" s="37" t="s">
        <v>79</v>
      </c>
      <c r="E137" s="21" t="s">
        <v>79</v>
      </c>
      <c r="F137" s="40"/>
      <c r="G137" s="4"/>
      <c r="H137" s="4"/>
      <c r="K137" s="41" t="str">
        <f>IFERROR(__xludf.DUMMYFUNCTION("""COMPUTED_VALUE"""),"")</f>
        <v/>
      </c>
      <c r="L137" s="42" t="s">
        <v>79</v>
      </c>
      <c r="M137" s="42" t="s">
        <v>79</v>
      </c>
    </row>
    <row r="138">
      <c r="A138" s="30"/>
      <c r="B138" s="37" t="s">
        <v>79</v>
      </c>
      <c r="E138" s="21" t="s">
        <v>79</v>
      </c>
      <c r="F138" s="40"/>
      <c r="G138" s="4"/>
      <c r="H138" s="4"/>
      <c r="K138" s="41" t="str">
        <f>IFERROR(__xludf.DUMMYFUNCTION("""COMPUTED_VALUE"""),"")</f>
        <v/>
      </c>
      <c r="L138" s="42" t="s">
        <v>79</v>
      </c>
      <c r="M138" s="42" t="s">
        <v>79</v>
      </c>
    </row>
    <row r="139">
      <c r="A139" s="30"/>
      <c r="B139" s="37" t="s">
        <v>79</v>
      </c>
      <c r="E139" s="21" t="s">
        <v>79</v>
      </c>
      <c r="F139" s="40"/>
      <c r="G139" s="4"/>
      <c r="H139" s="4"/>
      <c r="K139" s="41" t="str">
        <f>IFERROR(__xludf.DUMMYFUNCTION("""COMPUTED_VALUE"""),"")</f>
        <v/>
      </c>
      <c r="L139" s="42" t="s">
        <v>79</v>
      </c>
      <c r="M139" s="42" t="s">
        <v>79</v>
      </c>
    </row>
    <row r="140">
      <c r="A140" s="30"/>
      <c r="B140" s="37" t="s">
        <v>79</v>
      </c>
      <c r="E140" s="21" t="s">
        <v>79</v>
      </c>
      <c r="F140" s="40"/>
      <c r="G140" s="4"/>
      <c r="H140" s="4"/>
      <c r="K140" s="41" t="str">
        <f>IFERROR(__xludf.DUMMYFUNCTION("""COMPUTED_VALUE"""),"")</f>
        <v/>
      </c>
      <c r="L140" s="42" t="s">
        <v>79</v>
      </c>
      <c r="M140" s="42" t="s">
        <v>79</v>
      </c>
    </row>
    <row r="141">
      <c r="A141" s="30"/>
      <c r="B141" s="37" t="s">
        <v>79</v>
      </c>
      <c r="E141" s="21" t="s">
        <v>79</v>
      </c>
      <c r="F141" s="40"/>
      <c r="G141" s="4"/>
      <c r="H141" s="4"/>
      <c r="K141" s="41" t="str">
        <f>IFERROR(__xludf.DUMMYFUNCTION("""COMPUTED_VALUE"""),"")</f>
        <v/>
      </c>
      <c r="L141" s="42" t="s">
        <v>79</v>
      </c>
      <c r="M141" s="42" t="s">
        <v>79</v>
      </c>
    </row>
    <row r="142">
      <c r="A142" s="30"/>
      <c r="B142" s="37" t="s">
        <v>79</v>
      </c>
      <c r="E142" s="21" t="s">
        <v>79</v>
      </c>
      <c r="F142" s="40"/>
      <c r="G142" s="4"/>
      <c r="H142" s="4"/>
      <c r="K142" s="41" t="str">
        <f>IFERROR(__xludf.DUMMYFUNCTION("""COMPUTED_VALUE"""),"")</f>
        <v/>
      </c>
      <c r="L142" s="42" t="s">
        <v>79</v>
      </c>
      <c r="M142" s="42" t="s">
        <v>79</v>
      </c>
    </row>
    <row r="143">
      <c r="A143" s="30"/>
      <c r="B143" s="37" t="s">
        <v>79</v>
      </c>
      <c r="E143" s="21" t="s">
        <v>79</v>
      </c>
      <c r="F143" s="40"/>
      <c r="G143" s="4"/>
      <c r="H143" s="4"/>
      <c r="K143" s="41" t="str">
        <f>IFERROR(__xludf.DUMMYFUNCTION("""COMPUTED_VALUE"""),"")</f>
        <v/>
      </c>
      <c r="L143" s="42" t="s">
        <v>79</v>
      </c>
      <c r="M143" s="42" t="s">
        <v>79</v>
      </c>
    </row>
    <row r="144">
      <c r="A144" s="30"/>
      <c r="B144" s="37" t="s">
        <v>79</v>
      </c>
      <c r="E144" s="21" t="s">
        <v>79</v>
      </c>
      <c r="F144" s="40"/>
      <c r="G144" s="4"/>
      <c r="H144" s="4"/>
      <c r="K144" s="41" t="str">
        <f>IFERROR(__xludf.DUMMYFUNCTION("""COMPUTED_VALUE"""),"")</f>
        <v/>
      </c>
      <c r="L144" s="42" t="s">
        <v>79</v>
      </c>
      <c r="M144" s="42" t="s">
        <v>79</v>
      </c>
    </row>
    <row r="145">
      <c r="A145" s="30"/>
      <c r="B145" s="37" t="s">
        <v>79</v>
      </c>
      <c r="E145" s="21" t="s">
        <v>79</v>
      </c>
      <c r="F145" s="40"/>
      <c r="G145" s="4"/>
      <c r="H145" s="4"/>
      <c r="K145" s="41" t="str">
        <f>IFERROR(__xludf.DUMMYFUNCTION("""COMPUTED_VALUE"""),"")</f>
        <v/>
      </c>
      <c r="L145" s="42" t="s">
        <v>79</v>
      </c>
      <c r="M145" s="42" t="s">
        <v>79</v>
      </c>
    </row>
    <row r="146">
      <c r="A146" s="30"/>
      <c r="B146" s="37" t="s">
        <v>79</v>
      </c>
      <c r="E146" s="21" t="s">
        <v>79</v>
      </c>
      <c r="F146" s="40"/>
      <c r="G146" s="4"/>
      <c r="H146" s="4"/>
      <c r="K146" s="41" t="str">
        <f>IFERROR(__xludf.DUMMYFUNCTION("""COMPUTED_VALUE"""),"")</f>
        <v/>
      </c>
      <c r="L146" s="42" t="s">
        <v>79</v>
      </c>
      <c r="M146" s="42" t="s">
        <v>79</v>
      </c>
    </row>
    <row r="147">
      <c r="A147" s="30"/>
      <c r="B147" s="37" t="s">
        <v>79</v>
      </c>
      <c r="E147" s="21" t="s">
        <v>79</v>
      </c>
      <c r="F147" s="40"/>
      <c r="G147" s="4"/>
      <c r="H147" s="4"/>
      <c r="K147" s="41" t="str">
        <f>IFERROR(__xludf.DUMMYFUNCTION("""COMPUTED_VALUE"""),"")</f>
        <v/>
      </c>
      <c r="L147" s="42" t="s">
        <v>79</v>
      </c>
      <c r="M147" s="42" t="s">
        <v>79</v>
      </c>
    </row>
    <row r="148">
      <c r="A148" s="30"/>
      <c r="B148" s="37" t="s">
        <v>79</v>
      </c>
      <c r="E148" s="21" t="s">
        <v>79</v>
      </c>
      <c r="F148" s="40"/>
      <c r="G148" s="4"/>
      <c r="H148" s="4"/>
      <c r="K148" s="41" t="str">
        <f>IFERROR(__xludf.DUMMYFUNCTION("""COMPUTED_VALUE"""),"")</f>
        <v/>
      </c>
      <c r="L148" s="42" t="s">
        <v>79</v>
      </c>
      <c r="M148" s="42" t="s">
        <v>79</v>
      </c>
    </row>
    <row r="149">
      <c r="A149" s="30"/>
      <c r="B149" s="37" t="s">
        <v>79</v>
      </c>
      <c r="E149" s="21" t="s">
        <v>79</v>
      </c>
      <c r="F149" s="40"/>
      <c r="G149" s="4"/>
      <c r="H149" s="4"/>
      <c r="K149" s="41" t="str">
        <f>IFERROR(__xludf.DUMMYFUNCTION("""COMPUTED_VALUE"""),"")</f>
        <v/>
      </c>
      <c r="L149" s="42" t="s">
        <v>79</v>
      </c>
      <c r="M149" s="42" t="s">
        <v>79</v>
      </c>
    </row>
    <row r="150">
      <c r="A150" s="30"/>
      <c r="B150" s="37" t="s">
        <v>79</v>
      </c>
      <c r="E150" s="21" t="s">
        <v>79</v>
      </c>
      <c r="F150" s="40"/>
      <c r="G150" s="4"/>
      <c r="H150" s="4"/>
      <c r="K150" s="41" t="str">
        <f>IFERROR(__xludf.DUMMYFUNCTION("""COMPUTED_VALUE"""),"")</f>
        <v/>
      </c>
      <c r="L150" s="42" t="s">
        <v>79</v>
      </c>
      <c r="M150" s="42" t="s">
        <v>79</v>
      </c>
    </row>
    <row r="151">
      <c r="A151" s="30"/>
      <c r="B151" s="37" t="s">
        <v>79</v>
      </c>
      <c r="E151" s="21" t="s">
        <v>79</v>
      </c>
      <c r="F151" s="40"/>
      <c r="G151" s="4"/>
      <c r="H151" s="4"/>
      <c r="K151" s="41" t="str">
        <f>IFERROR(__xludf.DUMMYFUNCTION("""COMPUTED_VALUE"""),"")</f>
        <v/>
      </c>
      <c r="L151" s="42" t="s">
        <v>79</v>
      </c>
      <c r="M151" s="42" t="s">
        <v>79</v>
      </c>
    </row>
    <row r="152">
      <c r="A152" s="30"/>
      <c r="B152" s="37" t="s">
        <v>79</v>
      </c>
      <c r="E152" s="21" t="s">
        <v>79</v>
      </c>
      <c r="F152" s="40"/>
      <c r="G152" s="4"/>
      <c r="H152" s="4"/>
      <c r="K152" s="41" t="str">
        <f>IFERROR(__xludf.DUMMYFUNCTION("""COMPUTED_VALUE"""),"")</f>
        <v/>
      </c>
      <c r="L152" s="42" t="s">
        <v>79</v>
      </c>
      <c r="M152" s="42" t="s">
        <v>79</v>
      </c>
    </row>
    <row r="153">
      <c r="A153" s="30"/>
      <c r="B153" s="37" t="s">
        <v>79</v>
      </c>
      <c r="E153" s="21" t="s">
        <v>79</v>
      </c>
      <c r="F153" s="40"/>
      <c r="G153" s="4"/>
      <c r="H153" s="4"/>
      <c r="K153" s="41" t="str">
        <f>IFERROR(__xludf.DUMMYFUNCTION("""COMPUTED_VALUE"""),"")</f>
        <v/>
      </c>
      <c r="L153" s="42" t="s">
        <v>79</v>
      </c>
      <c r="M153" s="42" t="s">
        <v>79</v>
      </c>
    </row>
    <row r="154">
      <c r="A154" s="30"/>
      <c r="B154" s="37" t="s">
        <v>79</v>
      </c>
      <c r="E154" s="21" t="s">
        <v>79</v>
      </c>
      <c r="F154" s="40"/>
      <c r="G154" s="4"/>
      <c r="H154" s="4"/>
      <c r="K154" s="41" t="str">
        <f>IFERROR(__xludf.DUMMYFUNCTION("""COMPUTED_VALUE"""),"")</f>
        <v/>
      </c>
      <c r="L154" s="42" t="s">
        <v>79</v>
      </c>
      <c r="M154" s="42" t="s">
        <v>79</v>
      </c>
    </row>
    <row r="155">
      <c r="A155" s="30"/>
      <c r="B155" s="37" t="s">
        <v>79</v>
      </c>
      <c r="E155" s="21" t="s">
        <v>79</v>
      </c>
      <c r="F155" s="40"/>
      <c r="G155" s="4"/>
      <c r="H155" s="4"/>
      <c r="K155" s="41" t="str">
        <f>IFERROR(__xludf.DUMMYFUNCTION("""COMPUTED_VALUE"""),"")</f>
        <v/>
      </c>
      <c r="L155" s="42" t="s">
        <v>79</v>
      </c>
      <c r="M155" s="42" t="s">
        <v>79</v>
      </c>
    </row>
    <row r="156">
      <c r="A156" s="30"/>
      <c r="B156" s="37" t="s">
        <v>79</v>
      </c>
      <c r="E156" s="21" t="s">
        <v>79</v>
      </c>
      <c r="F156" s="40"/>
      <c r="G156" s="4"/>
      <c r="H156" s="4"/>
      <c r="K156" s="41" t="str">
        <f>IFERROR(__xludf.DUMMYFUNCTION("""COMPUTED_VALUE"""),"")</f>
        <v/>
      </c>
      <c r="L156" s="42" t="s">
        <v>79</v>
      </c>
      <c r="M156" s="42" t="s">
        <v>79</v>
      </c>
    </row>
    <row r="157">
      <c r="A157" s="30"/>
      <c r="B157" s="37" t="s">
        <v>79</v>
      </c>
      <c r="E157" s="21" t="s">
        <v>79</v>
      </c>
      <c r="F157" s="40"/>
      <c r="G157" s="4"/>
      <c r="H157" s="4"/>
      <c r="K157" s="41" t="str">
        <f>IFERROR(__xludf.DUMMYFUNCTION("""COMPUTED_VALUE"""),"")</f>
        <v/>
      </c>
      <c r="L157" s="42" t="s">
        <v>79</v>
      </c>
      <c r="M157" s="42" t="s">
        <v>79</v>
      </c>
    </row>
    <row r="158">
      <c r="A158" s="30"/>
      <c r="B158" s="37" t="s">
        <v>79</v>
      </c>
      <c r="E158" s="21" t="s">
        <v>79</v>
      </c>
      <c r="F158" s="40"/>
      <c r="G158" s="4"/>
      <c r="H158" s="4"/>
      <c r="K158" s="41" t="str">
        <f>IFERROR(__xludf.DUMMYFUNCTION("""COMPUTED_VALUE"""),"")</f>
        <v/>
      </c>
      <c r="L158" s="42" t="s">
        <v>79</v>
      </c>
      <c r="M158" s="42" t="s">
        <v>79</v>
      </c>
    </row>
    <row r="159">
      <c r="A159" s="30"/>
      <c r="B159" s="37" t="s">
        <v>79</v>
      </c>
      <c r="E159" s="21" t="s">
        <v>79</v>
      </c>
      <c r="F159" s="40"/>
      <c r="G159" s="4"/>
      <c r="H159" s="4"/>
      <c r="K159" s="41" t="str">
        <f>IFERROR(__xludf.DUMMYFUNCTION("""COMPUTED_VALUE"""),"")</f>
        <v/>
      </c>
      <c r="L159" s="42" t="s">
        <v>79</v>
      </c>
      <c r="M159" s="42" t="s">
        <v>79</v>
      </c>
    </row>
    <row r="160">
      <c r="A160" s="30"/>
      <c r="B160" s="37" t="s">
        <v>79</v>
      </c>
      <c r="E160" s="21" t="s">
        <v>79</v>
      </c>
      <c r="F160" s="40"/>
      <c r="G160" s="4"/>
      <c r="H160" s="4"/>
      <c r="K160" s="41" t="str">
        <f>IFERROR(__xludf.DUMMYFUNCTION("""COMPUTED_VALUE"""),"")</f>
        <v/>
      </c>
      <c r="L160" s="42" t="s">
        <v>79</v>
      </c>
      <c r="M160" s="42" t="s">
        <v>79</v>
      </c>
    </row>
    <row r="161">
      <c r="A161" s="30"/>
      <c r="B161" s="37" t="s">
        <v>79</v>
      </c>
      <c r="E161" s="21" t="s">
        <v>79</v>
      </c>
      <c r="F161" s="40"/>
      <c r="G161" s="4"/>
      <c r="H161" s="4"/>
      <c r="K161" s="41" t="str">
        <f>IFERROR(__xludf.DUMMYFUNCTION("""COMPUTED_VALUE"""),"")</f>
        <v/>
      </c>
      <c r="L161" s="42" t="s">
        <v>79</v>
      </c>
      <c r="M161" s="42" t="s">
        <v>79</v>
      </c>
    </row>
    <row r="162">
      <c r="A162" s="30"/>
      <c r="B162" s="37" t="s">
        <v>79</v>
      </c>
      <c r="E162" s="21" t="s">
        <v>79</v>
      </c>
      <c r="F162" s="40"/>
      <c r="G162" s="4"/>
      <c r="H162" s="4"/>
      <c r="K162" s="41" t="str">
        <f>IFERROR(__xludf.DUMMYFUNCTION("""COMPUTED_VALUE"""),"")</f>
        <v/>
      </c>
      <c r="L162" s="42" t="s">
        <v>79</v>
      </c>
      <c r="M162" s="42" t="s">
        <v>79</v>
      </c>
    </row>
    <row r="163">
      <c r="A163" s="30"/>
      <c r="B163" s="37" t="s">
        <v>79</v>
      </c>
      <c r="E163" s="21" t="s">
        <v>79</v>
      </c>
      <c r="F163" s="40"/>
      <c r="G163" s="4"/>
      <c r="H163" s="4"/>
      <c r="K163" s="41" t="str">
        <f>IFERROR(__xludf.DUMMYFUNCTION("""COMPUTED_VALUE"""),"")</f>
        <v/>
      </c>
      <c r="L163" s="42" t="s">
        <v>79</v>
      </c>
      <c r="M163" s="42" t="s">
        <v>79</v>
      </c>
    </row>
    <row r="164">
      <c r="A164" s="30"/>
      <c r="B164" s="37" t="s">
        <v>79</v>
      </c>
      <c r="E164" s="21" t="s">
        <v>79</v>
      </c>
      <c r="F164" s="40"/>
      <c r="G164" s="4"/>
      <c r="H164" s="4"/>
      <c r="K164" s="41" t="str">
        <f>IFERROR(__xludf.DUMMYFUNCTION("""COMPUTED_VALUE"""),"")</f>
        <v/>
      </c>
      <c r="L164" s="42" t="s">
        <v>79</v>
      </c>
      <c r="M164" s="42" t="s">
        <v>79</v>
      </c>
    </row>
    <row r="165">
      <c r="A165" s="30"/>
      <c r="B165" s="37" t="s">
        <v>79</v>
      </c>
      <c r="E165" s="21" t="s">
        <v>79</v>
      </c>
      <c r="F165" s="40"/>
      <c r="G165" s="4"/>
      <c r="H165" s="4"/>
      <c r="K165" s="41" t="str">
        <f>IFERROR(__xludf.DUMMYFUNCTION("""COMPUTED_VALUE"""),"")</f>
        <v/>
      </c>
      <c r="L165" s="42" t="s">
        <v>79</v>
      </c>
      <c r="M165" s="42" t="s">
        <v>79</v>
      </c>
    </row>
    <row r="166">
      <c r="A166" s="30"/>
      <c r="B166" s="37" t="s">
        <v>79</v>
      </c>
      <c r="E166" s="21" t="s">
        <v>79</v>
      </c>
      <c r="F166" s="40"/>
      <c r="G166" s="4"/>
      <c r="H166" s="4"/>
      <c r="K166" s="41" t="str">
        <f>IFERROR(__xludf.DUMMYFUNCTION("""COMPUTED_VALUE"""),"")</f>
        <v/>
      </c>
      <c r="L166" s="42" t="s">
        <v>79</v>
      </c>
      <c r="M166" s="42" t="s">
        <v>79</v>
      </c>
    </row>
    <row r="167">
      <c r="A167" s="30"/>
      <c r="B167" s="37" t="s">
        <v>79</v>
      </c>
      <c r="E167" s="21" t="s">
        <v>79</v>
      </c>
      <c r="F167" s="40"/>
      <c r="G167" s="4"/>
      <c r="H167" s="4"/>
      <c r="K167" s="41" t="str">
        <f>IFERROR(__xludf.DUMMYFUNCTION("""COMPUTED_VALUE"""),"")</f>
        <v/>
      </c>
      <c r="L167" s="42" t="s">
        <v>79</v>
      </c>
      <c r="M167" s="42" t="s">
        <v>79</v>
      </c>
    </row>
    <row r="168">
      <c r="A168" s="30"/>
      <c r="B168" s="37" t="s">
        <v>79</v>
      </c>
      <c r="E168" s="21" t="s">
        <v>79</v>
      </c>
      <c r="F168" s="40"/>
      <c r="G168" s="4"/>
      <c r="H168" s="4"/>
      <c r="K168" s="41" t="str">
        <f>IFERROR(__xludf.DUMMYFUNCTION("""COMPUTED_VALUE"""),"")</f>
        <v/>
      </c>
      <c r="L168" s="42" t="s">
        <v>79</v>
      </c>
      <c r="M168" s="42" t="s">
        <v>79</v>
      </c>
    </row>
    <row r="169">
      <c r="A169" s="30"/>
      <c r="B169" s="37" t="s">
        <v>79</v>
      </c>
      <c r="E169" s="21" t="s">
        <v>79</v>
      </c>
      <c r="F169" s="40"/>
      <c r="G169" s="4"/>
      <c r="H169" s="4"/>
      <c r="K169" s="41" t="str">
        <f>IFERROR(__xludf.DUMMYFUNCTION("""COMPUTED_VALUE"""),"")</f>
        <v/>
      </c>
      <c r="L169" s="42" t="s">
        <v>79</v>
      </c>
      <c r="M169" s="42" t="s">
        <v>79</v>
      </c>
    </row>
    <row r="170">
      <c r="A170" s="30"/>
      <c r="B170" s="37" t="s">
        <v>79</v>
      </c>
      <c r="E170" s="21" t="s">
        <v>79</v>
      </c>
      <c r="F170" s="40"/>
      <c r="G170" s="4"/>
      <c r="H170" s="4"/>
      <c r="K170" s="41" t="str">
        <f>IFERROR(__xludf.DUMMYFUNCTION("""COMPUTED_VALUE"""),"")</f>
        <v/>
      </c>
      <c r="L170" s="42" t="s">
        <v>79</v>
      </c>
      <c r="M170" s="42" t="s">
        <v>79</v>
      </c>
    </row>
    <row r="171">
      <c r="A171" s="30"/>
      <c r="B171" s="37" t="s">
        <v>79</v>
      </c>
      <c r="E171" s="21" t="s">
        <v>79</v>
      </c>
      <c r="F171" s="40"/>
      <c r="G171" s="4"/>
      <c r="H171" s="4"/>
      <c r="K171" s="41" t="str">
        <f>IFERROR(__xludf.DUMMYFUNCTION("""COMPUTED_VALUE"""),"")</f>
        <v/>
      </c>
      <c r="L171" s="42" t="s">
        <v>79</v>
      </c>
      <c r="M171" s="42" t="s">
        <v>79</v>
      </c>
    </row>
    <row r="172">
      <c r="A172" s="30"/>
      <c r="B172" s="37" t="s">
        <v>79</v>
      </c>
      <c r="E172" s="21" t="s">
        <v>79</v>
      </c>
      <c r="F172" s="40"/>
      <c r="G172" s="4"/>
      <c r="H172" s="4"/>
      <c r="K172" s="41" t="str">
        <f>IFERROR(__xludf.DUMMYFUNCTION("""COMPUTED_VALUE"""),"")</f>
        <v/>
      </c>
      <c r="L172" s="42" t="s">
        <v>79</v>
      </c>
      <c r="M172" s="42" t="s">
        <v>79</v>
      </c>
    </row>
    <row r="173">
      <c r="A173" s="30"/>
      <c r="B173" s="37" t="s">
        <v>79</v>
      </c>
      <c r="E173" s="21" t="s">
        <v>79</v>
      </c>
      <c r="F173" s="40"/>
      <c r="G173" s="4"/>
      <c r="H173" s="4"/>
      <c r="K173" s="41" t="str">
        <f>IFERROR(__xludf.DUMMYFUNCTION("""COMPUTED_VALUE"""),"")</f>
        <v/>
      </c>
      <c r="L173" s="42" t="s">
        <v>79</v>
      </c>
      <c r="M173" s="42" t="s">
        <v>79</v>
      </c>
    </row>
    <row r="174">
      <c r="A174" s="30"/>
      <c r="B174" s="37" t="s">
        <v>79</v>
      </c>
      <c r="E174" s="21" t="s">
        <v>79</v>
      </c>
      <c r="F174" s="40"/>
      <c r="G174" s="4"/>
      <c r="H174" s="4"/>
      <c r="K174" s="41" t="str">
        <f>IFERROR(__xludf.DUMMYFUNCTION("""COMPUTED_VALUE"""),"")</f>
        <v/>
      </c>
      <c r="L174" s="42" t="s">
        <v>79</v>
      </c>
      <c r="M174" s="42" t="s">
        <v>79</v>
      </c>
    </row>
    <row r="175">
      <c r="A175" s="30"/>
      <c r="B175" s="37" t="s">
        <v>79</v>
      </c>
      <c r="E175" s="21" t="s">
        <v>79</v>
      </c>
      <c r="F175" s="40"/>
      <c r="G175" s="4"/>
      <c r="H175" s="4"/>
      <c r="K175" s="41" t="str">
        <f>IFERROR(__xludf.DUMMYFUNCTION("""COMPUTED_VALUE"""),"")</f>
        <v/>
      </c>
      <c r="L175" s="42" t="s">
        <v>79</v>
      </c>
      <c r="M175" s="42" t="s">
        <v>79</v>
      </c>
    </row>
    <row r="176">
      <c r="A176" s="30"/>
      <c r="B176" s="37" t="s">
        <v>79</v>
      </c>
      <c r="E176" s="21" t="s">
        <v>79</v>
      </c>
      <c r="F176" s="40"/>
      <c r="G176" s="4"/>
      <c r="H176" s="4"/>
      <c r="K176" s="41" t="str">
        <f>IFERROR(__xludf.DUMMYFUNCTION("""COMPUTED_VALUE"""),"")</f>
        <v/>
      </c>
      <c r="L176" s="42" t="s">
        <v>79</v>
      </c>
      <c r="M176" s="42" t="s">
        <v>79</v>
      </c>
    </row>
    <row r="177">
      <c r="A177" s="30"/>
      <c r="B177" s="37" t="s">
        <v>79</v>
      </c>
      <c r="E177" s="21" t="s">
        <v>79</v>
      </c>
      <c r="F177" s="40"/>
      <c r="G177" s="4"/>
      <c r="H177" s="4"/>
      <c r="K177" s="41" t="str">
        <f>IFERROR(__xludf.DUMMYFUNCTION("""COMPUTED_VALUE"""),"")</f>
        <v/>
      </c>
      <c r="L177" s="42" t="s">
        <v>79</v>
      </c>
      <c r="M177" s="42" t="s">
        <v>79</v>
      </c>
    </row>
    <row r="178">
      <c r="A178" s="30"/>
      <c r="B178" s="37" t="s">
        <v>79</v>
      </c>
      <c r="E178" s="21" t="s">
        <v>79</v>
      </c>
      <c r="F178" s="40"/>
      <c r="G178" s="4"/>
      <c r="H178" s="4"/>
      <c r="K178" s="41" t="str">
        <f>IFERROR(__xludf.DUMMYFUNCTION("""COMPUTED_VALUE"""),"")</f>
        <v/>
      </c>
      <c r="L178" s="42" t="s">
        <v>79</v>
      </c>
      <c r="M178" s="42" t="s">
        <v>79</v>
      </c>
    </row>
    <row r="179">
      <c r="A179" s="30"/>
      <c r="B179" s="37" t="s">
        <v>79</v>
      </c>
      <c r="E179" s="21" t="s">
        <v>79</v>
      </c>
      <c r="F179" s="40"/>
      <c r="G179" s="4"/>
      <c r="H179" s="4"/>
      <c r="K179" s="41" t="str">
        <f>IFERROR(__xludf.DUMMYFUNCTION("""COMPUTED_VALUE"""),"")</f>
        <v/>
      </c>
      <c r="L179" s="42" t="s">
        <v>79</v>
      </c>
      <c r="M179" s="42" t="s">
        <v>79</v>
      </c>
    </row>
    <row r="180">
      <c r="A180" s="30"/>
      <c r="B180" s="37" t="s">
        <v>79</v>
      </c>
      <c r="E180" s="21" t="s">
        <v>79</v>
      </c>
      <c r="F180" s="40"/>
      <c r="G180" s="4"/>
      <c r="H180" s="4"/>
      <c r="K180" s="41" t="str">
        <f>IFERROR(__xludf.DUMMYFUNCTION("""COMPUTED_VALUE"""),"")</f>
        <v/>
      </c>
      <c r="L180" s="42" t="s">
        <v>79</v>
      </c>
      <c r="M180" s="42" t="s">
        <v>79</v>
      </c>
    </row>
    <row r="181">
      <c r="A181" s="30"/>
      <c r="B181" s="37" t="s">
        <v>79</v>
      </c>
      <c r="E181" s="21" t="s">
        <v>79</v>
      </c>
      <c r="F181" s="40"/>
      <c r="G181" s="4"/>
      <c r="H181" s="4"/>
      <c r="K181" s="41" t="str">
        <f>IFERROR(__xludf.DUMMYFUNCTION("""COMPUTED_VALUE"""),"")</f>
        <v/>
      </c>
      <c r="L181" s="42" t="s">
        <v>79</v>
      </c>
      <c r="M181" s="42" t="s">
        <v>79</v>
      </c>
    </row>
    <row r="182">
      <c r="A182" s="30"/>
      <c r="B182" s="37" t="s">
        <v>79</v>
      </c>
      <c r="E182" s="21" t="s">
        <v>79</v>
      </c>
      <c r="F182" s="40"/>
      <c r="G182" s="4"/>
      <c r="H182" s="4"/>
      <c r="K182" s="41" t="str">
        <f>IFERROR(__xludf.DUMMYFUNCTION("""COMPUTED_VALUE"""),"")</f>
        <v/>
      </c>
      <c r="L182" s="42" t="s">
        <v>79</v>
      </c>
      <c r="M182" s="42" t="s">
        <v>79</v>
      </c>
    </row>
    <row r="183">
      <c r="A183" s="30"/>
      <c r="B183" s="37" t="s">
        <v>79</v>
      </c>
      <c r="E183" s="21" t="s">
        <v>79</v>
      </c>
      <c r="F183" s="40"/>
      <c r="G183" s="4"/>
      <c r="H183" s="4"/>
      <c r="K183" s="41" t="str">
        <f>IFERROR(__xludf.DUMMYFUNCTION("""COMPUTED_VALUE"""),"")</f>
        <v/>
      </c>
      <c r="L183" s="42" t="s">
        <v>79</v>
      </c>
      <c r="M183" s="42" t="s">
        <v>79</v>
      </c>
    </row>
    <row r="184">
      <c r="A184" s="30"/>
      <c r="B184" s="37" t="s">
        <v>79</v>
      </c>
      <c r="E184" s="21" t="s">
        <v>79</v>
      </c>
      <c r="F184" s="40"/>
      <c r="G184" s="4"/>
      <c r="H184" s="4"/>
      <c r="K184" s="41" t="str">
        <f>IFERROR(__xludf.DUMMYFUNCTION("""COMPUTED_VALUE"""),"")</f>
        <v/>
      </c>
      <c r="L184" s="42" t="s">
        <v>79</v>
      </c>
      <c r="M184" s="42" t="s">
        <v>79</v>
      </c>
    </row>
    <row r="185">
      <c r="A185" s="30"/>
      <c r="B185" s="37" t="s">
        <v>79</v>
      </c>
      <c r="E185" s="21" t="s">
        <v>79</v>
      </c>
      <c r="F185" s="40"/>
      <c r="G185" s="4"/>
      <c r="H185" s="4"/>
      <c r="K185" s="41" t="str">
        <f>IFERROR(__xludf.DUMMYFUNCTION("""COMPUTED_VALUE"""),"")</f>
        <v/>
      </c>
      <c r="L185" s="42" t="s">
        <v>79</v>
      </c>
      <c r="M185" s="42" t="s">
        <v>79</v>
      </c>
    </row>
    <row r="186">
      <c r="A186" s="30"/>
      <c r="B186" s="37" t="s">
        <v>79</v>
      </c>
      <c r="E186" s="21" t="s">
        <v>79</v>
      </c>
      <c r="F186" s="40"/>
      <c r="G186" s="4"/>
      <c r="H186" s="4"/>
      <c r="K186" s="41" t="str">
        <f>IFERROR(__xludf.DUMMYFUNCTION("""COMPUTED_VALUE"""),"")</f>
        <v/>
      </c>
      <c r="L186" s="42" t="s">
        <v>79</v>
      </c>
      <c r="M186" s="42" t="s">
        <v>79</v>
      </c>
    </row>
    <row r="187">
      <c r="A187" s="30"/>
      <c r="B187" s="37" t="s">
        <v>79</v>
      </c>
      <c r="E187" s="21" t="s">
        <v>79</v>
      </c>
      <c r="F187" s="40"/>
      <c r="G187" s="4"/>
      <c r="H187" s="4"/>
      <c r="K187" s="41" t="str">
        <f>IFERROR(__xludf.DUMMYFUNCTION("""COMPUTED_VALUE"""),"")</f>
        <v/>
      </c>
      <c r="L187" s="42" t="s">
        <v>79</v>
      </c>
      <c r="M187" s="42" t="s">
        <v>79</v>
      </c>
    </row>
    <row r="188">
      <c r="A188" s="30"/>
      <c r="B188" s="37" t="s">
        <v>79</v>
      </c>
      <c r="E188" s="21" t="s">
        <v>79</v>
      </c>
      <c r="F188" s="40"/>
      <c r="G188" s="4"/>
      <c r="H188" s="4"/>
      <c r="K188" s="41" t="str">
        <f>IFERROR(__xludf.DUMMYFUNCTION("""COMPUTED_VALUE"""),"")</f>
        <v/>
      </c>
      <c r="L188" s="42" t="s">
        <v>79</v>
      </c>
      <c r="M188" s="42" t="s">
        <v>79</v>
      </c>
    </row>
    <row r="189">
      <c r="A189" s="30"/>
      <c r="B189" s="37" t="s">
        <v>79</v>
      </c>
      <c r="E189" s="21" t="s">
        <v>79</v>
      </c>
      <c r="F189" s="40"/>
      <c r="G189" s="4"/>
      <c r="H189" s="4"/>
      <c r="K189" s="41" t="str">
        <f>IFERROR(__xludf.DUMMYFUNCTION("""COMPUTED_VALUE"""),"")</f>
        <v/>
      </c>
      <c r="L189" s="42" t="s">
        <v>79</v>
      </c>
      <c r="M189" s="42" t="s">
        <v>79</v>
      </c>
    </row>
    <row r="190">
      <c r="A190" s="30"/>
      <c r="B190" s="37" t="s">
        <v>79</v>
      </c>
      <c r="E190" s="21" t="s">
        <v>79</v>
      </c>
      <c r="F190" s="40"/>
      <c r="G190" s="4"/>
      <c r="H190" s="4"/>
      <c r="K190" s="41" t="str">
        <f>IFERROR(__xludf.DUMMYFUNCTION("""COMPUTED_VALUE"""),"")</f>
        <v/>
      </c>
      <c r="L190" s="42" t="s">
        <v>79</v>
      </c>
      <c r="M190" s="42" t="s">
        <v>79</v>
      </c>
    </row>
    <row r="191">
      <c r="A191" s="30"/>
      <c r="B191" s="37" t="s">
        <v>79</v>
      </c>
      <c r="E191" s="21" t="s">
        <v>79</v>
      </c>
      <c r="F191" s="40"/>
      <c r="G191" s="4"/>
      <c r="H191" s="4"/>
      <c r="K191" s="41" t="str">
        <f>IFERROR(__xludf.DUMMYFUNCTION("""COMPUTED_VALUE"""),"")</f>
        <v/>
      </c>
      <c r="L191" s="42" t="s">
        <v>79</v>
      </c>
      <c r="M191" s="42" t="s">
        <v>79</v>
      </c>
    </row>
    <row r="192">
      <c r="A192" s="30"/>
      <c r="B192" s="37" t="s">
        <v>79</v>
      </c>
      <c r="E192" s="21" t="s">
        <v>79</v>
      </c>
      <c r="F192" s="40"/>
      <c r="G192" s="4"/>
      <c r="H192" s="4"/>
      <c r="K192" s="41" t="str">
        <f>IFERROR(__xludf.DUMMYFUNCTION("""COMPUTED_VALUE"""),"")</f>
        <v/>
      </c>
      <c r="L192" s="42" t="s">
        <v>79</v>
      </c>
      <c r="M192" s="42" t="s">
        <v>79</v>
      </c>
    </row>
    <row r="193">
      <c r="A193" s="30"/>
      <c r="B193" s="37" t="s">
        <v>79</v>
      </c>
      <c r="E193" s="21" t="s">
        <v>79</v>
      </c>
      <c r="F193" s="40"/>
      <c r="G193" s="4"/>
      <c r="H193" s="4"/>
      <c r="K193" s="41" t="str">
        <f>IFERROR(__xludf.DUMMYFUNCTION("""COMPUTED_VALUE"""),"")</f>
        <v/>
      </c>
      <c r="L193" s="42" t="s">
        <v>79</v>
      </c>
      <c r="M193" s="42" t="s">
        <v>79</v>
      </c>
    </row>
    <row r="194">
      <c r="A194" s="30"/>
      <c r="B194" s="37" t="s">
        <v>79</v>
      </c>
      <c r="E194" s="21" t="s">
        <v>79</v>
      </c>
      <c r="F194" s="40"/>
      <c r="G194" s="4"/>
      <c r="H194" s="4"/>
      <c r="K194" s="41" t="str">
        <f>IFERROR(__xludf.DUMMYFUNCTION("""COMPUTED_VALUE"""),"")</f>
        <v/>
      </c>
      <c r="L194" s="42" t="s">
        <v>79</v>
      </c>
      <c r="M194" s="42" t="s">
        <v>79</v>
      </c>
    </row>
    <row r="195">
      <c r="A195" s="30"/>
      <c r="B195" s="37" t="s">
        <v>79</v>
      </c>
      <c r="E195" s="21" t="s">
        <v>79</v>
      </c>
      <c r="F195" s="40"/>
      <c r="G195" s="4"/>
      <c r="H195" s="4"/>
      <c r="K195" s="41" t="str">
        <f>IFERROR(__xludf.DUMMYFUNCTION("""COMPUTED_VALUE"""),"")</f>
        <v/>
      </c>
      <c r="L195" s="42" t="s">
        <v>79</v>
      </c>
      <c r="M195" s="42" t="s">
        <v>79</v>
      </c>
    </row>
    <row r="196">
      <c r="A196" s="30"/>
      <c r="B196" s="37" t="s">
        <v>79</v>
      </c>
      <c r="E196" s="21" t="s">
        <v>79</v>
      </c>
      <c r="F196" s="40"/>
      <c r="G196" s="4"/>
      <c r="H196" s="4"/>
      <c r="K196" s="41" t="str">
        <f>IFERROR(__xludf.DUMMYFUNCTION("""COMPUTED_VALUE"""),"")</f>
        <v/>
      </c>
      <c r="L196" s="42" t="s">
        <v>79</v>
      </c>
      <c r="M196" s="42" t="s">
        <v>79</v>
      </c>
    </row>
    <row r="197">
      <c r="A197" s="30"/>
      <c r="B197" s="37" t="s">
        <v>79</v>
      </c>
      <c r="E197" s="21" t="s">
        <v>79</v>
      </c>
      <c r="F197" s="40"/>
      <c r="G197" s="4"/>
      <c r="H197" s="4"/>
      <c r="K197" s="41" t="str">
        <f>IFERROR(__xludf.DUMMYFUNCTION("""COMPUTED_VALUE"""),"")</f>
        <v/>
      </c>
      <c r="L197" s="42" t="s">
        <v>79</v>
      </c>
      <c r="M197" s="42" t="s">
        <v>79</v>
      </c>
    </row>
    <row r="198">
      <c r="A198" s="30"/>
      <c r="B198" s="37" t="s">
        <v>79</v>
      </c>
      <c r="E198" s="21" t="s">
        <v>79</v>
      </c>
      <c r="F198" s="40"/>
      <c r="G198" s="4"/>
      <c r="H198" s="4"/>
      <c r="K198" s="41" t="str">
        <f>IFERROR(__xludf.DUMMYFUNCTION("""COMPUTED_VALUE"""),"")</f>
        <v/>
      </c>
      <c r="L198" s="42" t="s">
        <v>79</v>
      </c>
      <c r="M198" s="42" t="s">
        <v>79</v>
      </c>
    </row>
    <row r="199">
      <c r="A199" s="30"/>
      <c r="B199" s="37" t="s">
        <v>79</v>
      </c>
      <c r="E199" s="21" t="s">
        <v>79</v>
      </c>
      <c r="F199" s="40"/>
      <c r="G199" s="4"/>
      <c r="H199" s="4"/>
      <c r="K199" s="41" t="str">
        <f>IFERROR(__xludf.DUMMYFUNCTION("""COMPUTED_VALUE"""),"")</f>
        <v/>
      </c>
      <c r="L199" s="42" t="s">
        <v>79</v>
      </c>
      <c r="M199" s="42" t="s">
        <v>79</v>
      </c>
    </row>
    <row r="200">
      <c r="A200" s="30"/>
      <c r="B200" s="37" t="s">
        <v>79</v>
      </c>
      <c r="E200" s="21" t="s">
        <v>79</v>
      </c>
      <c r="F200" s="40"/>
      <c r="G200" s="4"/>
      <c r="H200" s="4"/>
      <c r="K200" s="41" t="str">
        <f>IFERROR(__xludf.DUMMYFUNCTION("""COMPUTED_VALUE"""),"")</f>
        <v/>
      </c>
      <c r="L200" s="42" t="s">
        <v>79</v>
      </c>
      <c r="M200" s="42" t="s">
        <v>79</v>
      </c>
    </row>
    <row r="201">
      <c r="A201" s="30"/>
      <c r="B201" s="37" t="s">
        <v>79</v>
      </c>
      <c r="E201" s="21" t="s">
        <v>79</v>
      </c>
      <c r="F201" s="40"/>
      <c r="G201" s="4"/>
      <c r="H201" s="4"/>
      <c r="K201" s="41" t="str">
        <f>IFERROR(__xludf.DUMMYFUNCTION("""COMPUTED_VALUE"""),"")</f>
        <v/>
      </c>
      <c r="L201" s="42" t="s">
        <v>79</v>
      </c>
      <c r="M201" s="42" t="s">
        <v>79</v>
      </c>
    </row>
    <row r="202">
      <c r="A202" s="30"/>
      <c r="B202" s="37" t="s">
        <v>79</v>
      </c>
      <c r="E202" s="21" t="s">
        <v>79</v>
      </c>
      <c r="F202" s="40"/>
      <c r="G202" s="4"/>
      <c r="H202" s="4"/>
      <c r="K202" s="41" t="str">
        <f>IFERROR(__xludf.DUMMYFUNCTION("""COMPUTED_VALUE"""),"")</f>
        <v/>
      </c>
      <c r="L202" s="42" t="s">
        <v>79</v>
      </c>
      <c r="M202" s="42" t="s">
        <v>79</v>
      </c>
    </row>
    <row r="203">
      <c r="A203" s="30"/>
      <c r="B203" s="37" t="s">
        <v>79</v>
      </c>
      <c r="E203" s="21" t="s">
        <v>79</v>
      </c>
      <c r="F203" s="40"/>
      <c r="G203" s="4"/>
      <c r="H203" s="4"/>
      <c r="K203" s="41" t="str">
        <f>IFERROR(__xludf.DUMMYFUNCTION("""COMPUTED_VALUE"""),"")</f>
        <v/>
      </c>
      <c r="L203" s="42" t="s">
        <v>79</v>
      </c>
      <c r="M203" s="42" t="s">
        <v>79</v>
      </c>
    </row>
    <row r="204">
      <c r="A204" s="30"/>
      <c r="B204" s="37" t="s">
        <v>79</v>
      </c>
      <c r="E204" s="21" t="s">
        <v>79</v>
      </c>
      <c r="F204" s="40"/>
      <c r="G204" s="4"/>
      <c r="H204" s="4"/>
      <c r="K204" s="41" t="str">
        <f>IFERROR(__xludf.DUMMYFUNCTION("""COMPUTED_VALUE"""),"")</f>
        <v/>
      </c>
      <c r="L204" s="42" t="s">
        <v>79</v>
      </c>
      <c r="M204" s="42" t="s">
        <v>79</v>
      </c>
    </row>
    <row r="205">
      <c r="A205" s="30"/>
      <c r="B205" s="37" t="s">
        <v>79</v>
      </c>
      <c r="E205" s="21" t="s">
        <v>79</v>
      </c>
      <c r="F205" s="40"/>
      <c r="G205" s="4"/>
      <c r="H205" s="4"/>
      <c r="K205" s="41" t="str">
        <f>IFERROR(__xludf.DUMMYFUNCTION("""COMPUTED_VALUE"""),"")</f>
        <v/>
      </c>
      <c r="L205" s="42" t="s">
        <v>79</v>
      </c>
      <c r="M205" s="42" t="s">
        <v>79</v>
      </c>
    </row>
    <row r="206">
      <c r="A206" s="30"/>
      <c r="B206" s="37" t="s">
        <v>79</v>
      </c>
      <c r="E206" s="21" t="s">
        <v>79</v>
      </c>
      <c r="F206" s="40"/>
      <c r="G206" s="4"/>
      <c r="H206" s="4"/>
      <c r="K206" s="41" t="str">
        <f>IFERROR(__xludf.DUMMYFUNCTION("""COMPUTED_VALUE"""),"")</f>
        <v/>
      </c>
      <c r="L206" s="42" t="s">
        <v>79</v>
      </c>
      <c r="M206" s="42" t="s">
        <v>79</v>
      </c>
    </row>
    <row r="207">
      <c r="A207" s="30"/>
      <c r="B207" s="37" t="s">
        <v>79</v>
      </c>
      <c r="E207" s="21" t="s">
        <v>79</v>
      </c>
      <c r="F207" s="40"/>
      <c r="G207" s="4"/>
      <c r="H207" s="4"/>
      <c r="K207" s="41" t="str">
        <f>IFERROR(__xludf.DUMMYFUNCTION("""COMPUTED_VALUE"""),"")</f>
        <v/>
      </c>
      <c r="L207" s="42" t="s">
        <v>79</v>
      </c>
      <c r="M207" s="42" t="s">
        <v>79</v>
      </c>
    </row>
    <row r="208">
      <c r="A208" s="30"/>
      <c r="B208" s="37" t="s">
        <v>79</v>
      </c>
      <c r="E208" s="21" t="s">
        <v>79</v>
      </c>
      <c r="F208" s="40"/>
      <c r="G208" s="4"/>
      <c r="H208" s="4"/>
      <c r="K208" s="41" t="str">
        <f>IFERROR(__xludf.DUMMYFUNCTION("""COMPUTED_VALUE"""),"")</f>
        <v/>
      </c>
      <c r="L208" s="42" t="s">
        <v>79</v>
      </c>
      <c r="M208" s="42" t="s">
        <v>79</v>
      </c>
    </row>
    <row r="209">
      <c r="A209" s="30"/>
      <c r="B209" s="37" t="s">
        <v>79</v>
      </c>
      <c r="E209" s="21" t="s">
        <v>79</v>
      </c>
      <c r="F209" s="40"/>
      <c r="G209" s="4"/>
      <c r="H209" s="4"/>
      <c r="K209" s="41" t="str">
        <f>IFERROR(__xludf.DUMMYFUNCTION("""COMPUTED_VALUE"""),"")</f>
        <v/>
      </c>
      <c r="L209" s="42" t="s">
        <v>79</v>
      </c>
      <c r="M209" s="42" t="s">
        <v>79</v>
      </c>
    </row>
    <row r="210">
      <c r="A210" s="30"/>
      <c r="B210" s="37" t="s">
        <v>79</v>
      </c>
      <c r="E210" s="21" t="s">
        <v>79</v>
      </c>
      <c r="F210" s="40"/>
      <c r="G210" s="4"/>
      <c r="H210" s="4"/>
      <c r="K210" s="41" t="str">
        <f>IFERROR(__xludf.DUMMYFUNCTION("""COMPUTED_VALUE"""),"")</f>
        <v/>
      </c>
      <c r="L210" s="42" t="s">
        <v>79</v>
      </c>
      <c r="M210" s="42" t="s">
        <v>79</v>
      </c>
    </row>
    <row r="211">
      <c r="A211" s="30"/>
      <c r="B211" s="37" t="s">
        <v>79</v>
      </c>
      <c r="E211" s="21" t="s">
        <v>79</v>
      </c>
      <c r="F211" s="40"/>
      <c r="G211" s="4"/>
      <c r="H211" s="4"/>
      <c r="K211" s="41" t="str">
        <f>IFERROR(__xludf.DUMMYFUNCTION("""COMPUTED_VALUE"""),"")</f>
        <v/>
      </c>
      <c r="L211" s="42" t="s">
        <v>79</v>
      </c>
      <c r="M211" s="42" t="s">
        <v>79</v>
      </c>
    </row>
    <row r="212">
      <c r="A212" s="30"/>
      <c r="B212" s="37" t="s">
        <v>79</v>
      </c>
      <c r="E212" s="21" t="s">
        <v>79</v>
      </c>
      <c r="F212" s="40"/>
      <c r="G212" s="4"/>
      <c r="H212" s="4"/>
      <c r="K212" s="41" t="str">
        <f>IFERROR(__xludf.DUMMYFUNCTION("""COMPUTED_VALUE"""),"")</f>
        <v/>
      </c>
      <c r="L212" s="42" t="s">
        <v>79</v>
      </c>
      <c r="M212" s="42" t="s">
        <v>79</v>
      </c>
    </row>
    <row r="213">
      <c r="A213" s="30"/>
      <c r="B213" s="37" t="s">
        <v>79</v>
      </c>
      <c r="E213" s="21" t="s">
        <v>79</v>
      </c>
      <c r="F213" s="40"/>
      <c r="G213" s="4"/>
      <c r="H213" s="4"/>
      <c r="K213" s="41" t="str">
        <f>IFERROR(__xludf.DUMMYFUNCTION("""COMPUTED_VALUE"""),"")</f>
        <v/>
      </c>
      <c r="L213" s="42" t="s">
        <v>79</v>
      </c>
      <c r="M213" s="42" t="s">
        <v>79</v>
      </c>
    </row>
    <row r="214">
      <c r="A214" s="30"/>
      <c r="B214" s="37" t="s">
        <v>79</v>
      </c>
      <c r="E214" s="21" t="s">
        <v>79</v>
      </c>
      <c r="F214" s="40"/>
      <c r="G214" s="4"/>
      <c r="H214" s="4"/>
      <c r="K214" s="41" t="str">
        <f>IFERROR(__xludf.DUMMYFUNCTION("""COMPUTED_VALUE"""),"")</f>
        <v/>
      </c>
      <c r="L214" s="42" t="s">
        <v>79</v>
      </c>
      <c r="M214" s="42" t="s">
        <v>79</v>
      </c>
    </row>
    <row r="215">
      <c r="A215" s="30"/>
      <c r="B215" s="37" t="s">
        <v>79</v>
      </c>
      <c r="E215" s="21" t="s">
        <v>79</v>
      </c>
      <c r="F215" s="40"/>
      <c r="G215" s="4"/>
      <c r="H215" s="4"/>
      <c r="K215" s="41" t="str">
        <f>IFERROR(__xludf.DUMMYFUNCTION("""COMPUTED_VALUE"""),"")</f>
        <v/>
      </c>
      <c r="L215" s="42" t="s">
        <v>79</v>
      </c>
      <c r="M215" s="42" t="s">
        <v>79</v>
      </c>
    </row>
    <row r="216">
      <c r="A216" s="30"/>
      <c r="B216" s="37" t="s">
        <v>79</v>
      </c>
      <c r="E216" s="21" t="s">
        <v>79</v>
      </c>
      <c r="F216" s="40"/>
      <c r="G216" s="4"/>
      <c r="H216" s="4"/>
      <c r="K216" s="41" t="str">
        <f>IFERROR(__xludf.DUMMYFUNCTION("""COMPUTED_VALUE"""),"")</f>
        <v/>
      </c>
      <c r="L216" s="42" t="s">
        <v>79</v>
      </c>
      <c r="M216" s="42" t="s">
        <v>79</v>
      </c>
    </row>
    <row r="217">
      <c r="A217" s="30"/>
      <c r="B217" s="37" t="s">
        <v>79</v>
      </c>
      <c r="E217" s="21" t="s">
        <v>79</v>
      </c>
      <c r="F217" s="40"/>
      <c r="G217" s="4"/>
      <c r="H217" s="4"/>
      <c r="K217" s="41" t="str">
        <f>IFERROR(__xludf.DUMMYFUNCTION("""COMPUTED_VALUE"""),"")</f>
        <v/>
      </c>
      <c r="L217" s="42" t="s">
        <v>79</v>
      </c>
      <c r="M217" s="42" t="s">
        <v>79</v>
      </c>
    </row>
    <row r="218">
      <c r="A218" s="30"/>
      <c r="B218" s="37" t="s">
        <v>79</v>
      </c>
      <c r="E218" s="21" t="s">
        <v>79</v>
      </c>
      <c r="F218" s="40"/>
      <c r="G218" s="4"/>
      <c r="H218" s="4"/>
      <c r="K218" s="41" t="str">
        <f>IFERROR(__xludf.DUMMYFUNCTION("""COMPUTED_VALUE"""),"")</f>
        <v/>
      </c>
      <c r="L218" s="42" t="s">
        <v>79</v>
      </c>
      <c r="M218" s="42" t="s">
        <v>79</v>
      </c>
    </row>
    <row r="219">
      <c r="A219" s="30"/>
      <c r="B219" s="37" t="s">
        <v>79</v>
      </c>
      <c r="E219" s="21" t="s">
        <v>79</v>
      </c>
      <c r="F219" s="40"/>
      <c r="G219" s="4"/>
      <c r="H219" s="4"/>
      <c r="K219" s="41" t="str">
        <f>IFERROR(__xludf.DUMMYFUNCTION("""COMPUTED_VALUE"""),"")</f>
        <v/>
      </c>
      <c r="L219" s="42" t="s">
        <v>79</v>
      </c>
      <c r="M219" s="42" t="s">
        <v>79</v>
      </c>
    </row>
    <row r="220">
      <c r="A220" s="30"/>
      <c r="B220" s="37" t="s">
        <v>79</v>
      </c>
      <c r="E220" s="21" t="s">
        <v>79</v>
      </c>
      <c r="F220" s="40"/>
      <c r="G220" s="4"/>
      <c r="H220" s="4"/>
      <c r="K220" s="41" t="str">
        <f>IFERROR(__xludf.DUMMYFUNCTION("""COMPUTED_VALUE"""),"")</f>
        <v/>
      </c>
      <c r="L220" s="42" t="s">
        <v>79</v>
      </c>
      <c r="M220" s="42" t="s">
        <v>79</v>
      </c>
    </row>
    <row r="221">
      <c r="A221" s="30"/>
      <c r="B221" s="37" t="s">
        <v>79</v>
      </c>
      <c r="E221" s="21" t="s">
        <v>79</v>
      </c>
      <c r="F221" s="40"/>
      <c r="G221" s="4"/>
      <c r="H221" s="4"/>
      <c r="K221" s="41" t="str">
        <f>IFERROR(__xludf.DUMMYFUNCTION("""COMPUTED_VALUE"""),"")</f>
        <v/>
      </c>
      <c r="L221" s="42" t="s">
        <v>79</v>
      </c>
      <c r="M221" s="42" t="s">
        <v>79</v>
      </c>
    </row>
    <row r="222">
      <c r="A222" s="30"/>
      <c r="B222" s="37" t="s">
        <v>79</v>
      </c>
      <c r="E222" s="21" t="s">
        <v>79</v>
      </c>
      <c r="F222" s="40"/>
      <c r="G222" s="4"/>
      <c r="H222" s="4"/>
      <c r="K222" s="41" t="str">
        <f>IFERROR(__xludf.DUMMYFUNCTION("""COMPUTED_VALUE"""),"")</f>
        <v/>
      </c>
      <c r="L222" s="42" t="s">
        <v>79</v>
      </c>
      <c r="M222" s="42" t="s">
        <v>79</v>
      </c>
    </row>
    <row r="223">
      <c r="A223" s="30"/>
      <c r="B223" s="37" t="s">
        <v>79</v>
      </c>
      <c r="E223" s="21" t="s">
        <v>79</v>
      </c>
      <c r="F223" s="40"/>
      <c r="G223" s="4"/>
      <c r="H223" s="4"/>
      <c r="K223" s="41" t="str">
        <f>IFERROR(__xludf.DUMMYFUNCTION("""COMPUTED_VALUE"""),"")</f>
        <v/>
      </c>
      <c r="L223" s="42" t="s">
        <v>79</v>
      </c>
      <c r="M223" s="42" t="s">
        <v>79</v>
      </c>
    </row>
    <row r="224">
      <c r="A224" s="30"/>
      <c r="B224" s="37" t="s">
        <v>79</v>
      </c>
      <c r="E224" s="21" t="s">
        <v>79</v>
      </c>
      <c r="F224" s="40"/>
      <c r="G224" s="4"/>
      <c r="H224" s="4"/>
      <c r="K224" s="41" t="str">
        <f>IFERROR(__xludf.DUMMYFUNCTION("""COMPUTED_VALUE"""),"")</f>
        <v/>
      </c>
      <c r="L224" s="42" t="s">
        <v>79</v>
      </c>
      <c r="M224" s="42" t="s">
        <v>79</v>
      </c>
    </row>
    <row r="225">
      <c r="A225" s="30"/>
      <c r="B225" s="37" t="s">
        <v>79</v>
      </c>
      <c r="E225" s="21" t="s">
        <v>79</v>
      </c>
      <c r="F225" s="40"/>
      <c r="G225" s="4"/>
      <c r="H225" s="4"/>
      <c r="K225" s="41" t="str">
        <f>IFERROR(__xludf.DUMMYFUNCTION("""COMPUTED_VALUE"""),"")</f>
        <v/>
      </c>
      <c r="L225" s="42" t="s">
        <v>79</v>
      </c>
      <c r="M225" s="42" t="s">
        <v>79</v>
      </c>
    </row>
    <row r="226">
      <c r="A226" s="30"/>
      <c r="B226" s="37" t="s">
        <v>79</v>
      </c>
      <c r="E226" s="21" t="s">
        <v>79</v>
      </c>
      <c r="F226" s="40"/>
      <c r="G226" s="4"/>
      <c r="H226" s="4"/>
      <c r="K226" s="41" t="str">
        <f>IFERROR(__xludf.DUMMYFUNCTION("""COMPUTED_VALUE"""),"")</f>
        <v/>
      </c>
      <c r="L226" s="42" t="s">
        <v>79</v>
      </c>
      <c r="M226" s="42" t="s">
        <v>79</v>
      </c>
    </row>
    <row r="227">
      <c r="A227" s="30"/>
      <c r="B227" s="37" t="s">
        <v>79</v>
      </c>
      <c r="E227" s="21" t="s">
        <v>79</v>
      </c>
      <c r="F227" s="40"/>
      <c r="G227" s="4"/>
      <c r="H227" s="4"/>
      <c r="K227" s="41" t="str">
        <f>IFERROR(__xludf.DUMMYFUNCTION("""COMPUTED_VALUE"""),"")</f>
        <v/>
      </c>
      <c r="L227" s="42" t="s">
        <v>79</v>
      </c>
      <c r="M227" s="42" t="s">
        <v>79</v>
      </c>
    </row>
    <row r="228">
      <c r="A228" s="30"/>
      <c r="B228" s="37" t="s">
        <v>79</v>
      </c>
      <c r="E228" s="21" t="s">
        <v>79</v>
      </c>
      <c r="F228" s="40"/>
      <c r="G228" s="4"/>
      <c r="H228" s="4"/>
      <c r="K228" s="41" t="str">
        <f>IFERROR(__xludf.DUMMYFUNCTION("""COMPUTED_VALUE"""),"")</f>
        <v/>
      </c>
      <c r="L228" s="42" t="s">
        <v>79</v>
      </c>
      <c r="M228" s="42" t="s">
        <v>79</v>
      </c>
    </row>
    <row r="229">
      <c r="A229" s="30"/>
      <c r="B229" s="37" t="s">
        <v>79</v>
      </c>
      <c r="E229" s="21" t="s">
        <v>79</v>
      </c>
      <c r="F229" s="40"/>
      <c r="G229" s="4"/>
      <c r="H229" s="4"/>
      <c r="K229" s="41" t="str">
        <f>IFERROR(__xludf.DUMMYFUNCTION("""COMPUTED_VALUE"""),"")</f>
        <v/>
      </c>
      <c r="L229" s="42" t="s">
        <v>79</v>
      </c>
      <c r="M229" s="42" t="s">
        <v>79</v>
      </c>
    </row>
    <row r="230">
      <c r="A230" s="30"/>
      <c r="B230" s="37" t="s">
        <v>79</v>
      </c>
      <c r="E230" s="21" t="s">
        <v>79</v>
      </c>
      <c r="F230" s="40"/>
      <c r="G230" s="4"/>
      <c r="H230" s="4"/>
      <c r="K230" s="41" t="str">
        <f>IFERROR(__xludf.DUMMYFUNCTION("""COMPUTED_VALUE"""),"")</f>
        <v/>
      </c>
      <c r="L230" s="42" t="s">
        <v>79</v>
      </c>
      <c r="M230" s="42" t="s">
        <v>79</v>
      </c>
    </row>
    <row r="231">
      <c r="A231" s="30"/>
      <c r="B231" s="37" t="s">
        <v>79</v>
      </c>
      <c r="E231" s="21" t="s">
        <v>79</v>
      </c>
      <c r="F231" s="40"/>
      <c r="G231" s="4"/>
      <c r="H231" s="4"/>
      <c r="K231" s="41" t="str">
        <f>IFERROR(__xludf.DUMMYFUNCTION("""COMPUTED_VALUE"""),"")</f>
        <v/>
      </c>
      <c r="L231" s="42" t="s">
        <v>79</v>
      </c>
      <c r="M231" s="42" t="s">
        <v>79</v>
      </c>
    </row>
    <row r="232">
      <c r="A232" s="30"/>
      <c r="B232" s="37" t="s">
        <v>79</v>
      </c>
      <c r="E232" s="21" t="s">
        <v>79</v>
      </c>
      <c r="F232" s="40"/>
      <c r="G232" s="4"/>
      <c r="H232" s="4"/>
      <c r="K232" s="41" t="str">
        <f>IFERROR(__xludf.DUMMYFUNCTION("""COMPUTED_VALUE"""),"")</f>
        <v/>
      </c>
      <c r="L232" s="42" t="s">
        <v>79</v>
      </c>
      <c r="M232" s="42" t="s">
        <v>79</v>
      </c>
    </row>
    <row r="233">
      <c r="A233" s="30"/>
      <c r="B233" s="37" t="s">
        <v>79</v>
      </c>
      <c r="E233" s="21" t="s">
        <v>79</v>
      </c>
      <c r="F233" s="40"/>
      <c r="G233" s="4"/>
      <c r="H233" s="4"/>
      <c r="K233" s="41" t="str">
        <f>IFERROR(__xludf.DUMMYFUNCTION("""COMPUTED_VALUE"""),"")</f>
        <v/>
      </c>
      <c r="L233" s="42" t="s">
        <v>79</v>
      </c>
      <c r="M233" s="42" t="s">
        <v>79</v>
      </c>
    </row>
    <row r="234">
      <c r="A234" s="30"/>
      <c r="B234" s="37" t="s">
        <v>79</v>
      </c>
      <c r="E234" s="21" t="s">
        <v>79</v>
      </c>
      <c r="F234" s="40"/>
      <c r="G234" s="4"/>
      <c r="H234" s="4"/>
      <c r="K234" s="41" t="str">
        <f>IFERROR(__xludf.DUMMYFUNCTION("""COMPUTED_VALUE"""),"")</f>
        <v/>
      </c>
      <c r="L234" s="42" t="s">
        <v>79</v>
      </c>
      <c r="M234" s="42" t="s">
        <v>79</v>
      </c>
    </row>
    <row r="235">
      <c r="A235" s="30"/>
      <c r="B235" s="37" t="s">
        <v>79</v>
      </c>
      <c r="E235" s="21" t="s">
        <v>79</v>
      </c>
      <c r="F235" s="40"/>
      <c r="G235" s="4"/>
      <c r="H235" s="4"/>
      <c r="K235" s="41" t="str">
        <f>IFERROR(__xludf.DUMMYFUNCTION("""COMPUTED_VALUE"""),"")</f>
        <v/>
      </c>
      <c r="L235" s="42" t="s">
        <v>79</v>
      </c>
      <c r="M235" s="42" t="s">
        <v>79</v>
      </c>
    </row>
    <row r="236">
      <c r="A236" s="30"/>
      <c r="B236" s="37" t="s">
        <v>79</v>
      </c>
      <c r="E236" s="21" t="s">
        <v>79</v>
      </c>
      <c r="F236" s="40"/>
      <c r="G236" s="4"/>
      <c r="H236" s="4"/>
      <c r="K236" s="41" t="str">
        <f>IFERROR(__xludf.DUMMYFUNCTION("""COMPUTED_VALUE"""),"")</f>
        <v/>
      </c>
      <c r="L236" s="42" t="s">
        <v>79</v>
      </c>
      <c r="M236" s="42" t="s">
        <v>79</v>
      </c>
    </row>
    <row r="237">
      <c r="A237" s="30"/>
      <c r="B237" s="37" t="s">
        <v>79</v>
      </c>
      <c r="E237" s="21" t="s">
        <v>79</v>
      </c>
      <c r="F237" s="40"/>
      <c r="G237" s="4"/>
      <c r="H237" s="4"/>
      <c r="K237" s="41" t="str">
        <f>IFERROR(__xludf.DUMMYFUNCTION("""COMPUTED_VALUE"""),"")</f>
        <v/>
      </c>
      <c r="L237" s="42" t="s">
        <v>79</v>
      </c>
      <c r="M237" s="42" t="s">
        <v>79</v>
      </c>
    </row>
    <row r="238">
      <c r="A238" s="30"/>
      <c r="B238" s="37" t="s">
        <v>79</v>
      </c>
      <c r="E238" s="21" t="s">
        <v>79</v>
      </c>
      <c r="F238" s="40"/>
      <c r="G238" s="4"/>
      <c r="H238" s="4"/>
      <c r="K238" s="41" t="str">
        <f>IFERROR(__xludf.DUMMYFUNCTION("""COMPUTED_VALUE"""),"")</f>
        <v/>
      </c>
      <c r="L238" s="42" t="s">
        <v>79</v>
      </c>
      <c r="M238" s="42" t="s">
        <v>79</v>
      </c>
    </row>
    <row r="239">
      <c r="A239" s="30"/>
      <c r="B239" s="37" t="s">
        <v>79</v>
      </c>
      <c r="E239" s="21" t="s">
        <v>79</v>
      </c>
      <c r="F239" s="40"/>
      <c r="G239" s="4"/>
      <c r="H239" s="4"/>
      <c r="K239" s="41" t="str">
        <f>IFERROR(__xludf.DUMMYFUNCTION("""COMPUTED_VALUE"""),"")</f>
        <v/>
      </c>
      <c r="L239" s="42" t="s">
        <v>79</v>
      </c>
      <c r="M239" s="42" t="s">
        <v>79</v>
      </c>
    </row>
    <row r="240">
      <c r="A240" s="30"/>
      <c r="B240" s="37" t="s">
        <v>79</v>
      </c>
      <c r="E240" s="21" t="s">
        <v>79</v>
      </c>
      <c r="F240" s="40"/>
      <c r="G240" s="4"/>
      <c r="H240" s="4"/>
      <c r="K240" s="41" t="str">
        <f>IFERROR(__xludf.DUMMYFUNCTION("""COMPUTED_VALUE"""),"")</f>
        <v/>
      </c>
      <c r="L240" s="42" t="s">
        <v>79</v>
      </c>
      <c r="M240" s="42" t="s">
        <v>79</v>
      </c>
    </row>
    <row r="241">
      <c r="A241" s="30"/>
      <c r="B241" s="37" t="s">
        <v>79</v>
      </c>
      <c r="E241" s="21" t="s">
        <v>79</v>
      </c>
      <c r="F241" s="40"/>
      <c r="G241" s="4"/>
      <c r="H241" s="4"/>
      <c r="K241" s="41" t="str">
        <f>IFERROR(__xludf.DUMMYFUNCTION("""COMPUTED_VALUE"""),"")</f>
        <v/>
      </c>
      <c r="L241" s="42" t="s">
        <v>79</v>
      </c>
      <c r="M241" s="42" t="s">
        <v>79</v>
      </c>
    </row>
    <row r="242">
      <c r="A242" s="30"/>
      <c r="B242" s="37" t="s">
        <v>79</v>
      </c>
      <c r="E242" s="21" t="s">
        <v>79</v>
      </c>
      <c r="F242" s="40"/>
      <c r="G242" s="4"/>
      <c r="H242" s="4"/>
      <c r="K242" s="41" t="str">
        <f>IFERROR(__xludf.DUMMYFUNCTION("""COMPUTED_VALUE"""),"")</f>
        <v/>
      </c>
      <c r="L242" s="42" t="s">
        <v>79</v>
      </c>
      <c r="M242" s="42" t="s">
        <v>79</v>
      </c>
    </row>
    <row r="243">
      <c r="A243" s="30"/>
      <c r="B243" s="37" t="s">
        <v>79</v>
      </c>
      <c r="E243" s="21" t="s">
        <v>79</v>
      </c>
      <c r="F243" s="40"/>
      <c r="G243" s="4"/>
      <c r="H243" s="4"/>
      <c r="K243" s="41" t="str">
        <f>IFERROR(__xludf.DUMMYFUNCTION("""COMPUTED_VALUE"""),"")</f>
        <v/>
      </c>
      <c r="L243" s="42" t="s">
        <v>79</v>
      </c>
      <c r="M243" s="42" t="s">
        <v>79</v>
      </c>
    </row>
    <row r="244">
      <c r="A244" s="30"/>
      <c r="B244" s="37" t="s">
        <v>79</v>
      </c>
      <c r="E244" s="21" t="s">
        <v>79</v>
      </c>
      <c r="F244" s="40"/>
      <c r="G244" s="4"/>
      <c r="H244" s="4"/>
      <c r="K244" s="41" t="str">
        <f>IFERROR(__xludf.DUMMYFUNCTION("""COMPUTED_VALUE"""),"")</f>
        <v/>
      </c>
      <c r="L244" s="42" t="s">
        <v>79</v>
      </c>
      <c r="M244" s="42" t="s">
        <v>79</v>
      </c>
    </row>
    <row r="245">
      <c r="A245" s="30"/>
      <c r="B245" s="37" t="s">
        <v>79</v>
      </c>
      <c r="E245" s="21" t="s">
        <v>79</v>
      </c>
      <c r="F245" s="40"/>
      <c r="G245" s="4"/>
      <c r="H245" s="4"/>
      <c r="K245" s="41" t="str">
        <f>IFERROR(__xludf.DUMMYFUNCTION("""COMPUTED_VALUE"""),"")</f>
        <v/>
      </c>
      <c r="L245" s="42" t="s">
        <v>79</v>
      </c>
      <c r="M245" s="42" t="s">
        <v>79</v>
      </c>
    </row>
    <row r="246">
      <c r="A246" s="30"/>
      <c r="B246" s="37" t="s">
        <v>79</v>
      </c>
      <c r="E246" s="21" t="s">
        <v>79</v>
      </c>
      <c r="F246" s="40"/>
      <c r="G246" s="4"/>
      <c r="H246" s="4"/>
      <c r="K246" s="41" t="str">
        <f>IFERROR(__xludf.DUMMYFUNCTION("""COMPUTED_VALUE"""),"")</f>
        <v/>
      </c>
      <c r="L246" s="42" t="s">
        <v>79</v>
      </c>
      <c r="M246" s="42" t="s">
        <v>79</v>
      </c>
    </row>
    <row r="247">
      <c r="A247" s="30"/>
      <c r="B247" s="37" t="s">
        <v>79</v>
      </c>
      <c r="E247" s="21" t="s">
        <v>79</v>
      </c>
      <c r="F247" s="40"/>
      <c r="G247" s="4"/>
      <c r="H247" s="4"/>
      <c r="K247" s="41" t="str">
        <f>IFERROR(__xludf.DUMMYFUNCTION("""COMPUTED_VALUE"""),"")</f>
        <v/>
      </c>
      <c r="L247" s="42" t="s">
        <v>79</v>
      </c>
      <c r="M247" s="42" t="s">
        <v>79</v>
      </c>
    </row>
    <row r="248">
      <c r="A248" s="30"/>
      <c r="B248" s="37" t="s">
        <v>79</v>
      </c>
      <c r="E248" s="21" t="s">
        <v>79</v>
      </c>
      <c r="F248" s="40"/>
      <c r="G248" s="4"/>
      <c r="H248" s="4"/>
      <c r="K248" s="41" t="str">
        <f>IFERROR(__xludf.DUMMYFUNCTION("""COMPUTED_VALUE"""),"")</f>
        <v/>
      </c>
      <c r="L248" s="42" t="s">
        <v>79</v>
      </c>
      <c r="M248" s="42" t="s">
        <v>79</v>
      </c>
    </row>
    <row r="249">
      <c r="A249" s="30"/>
      <c r="B249" s="37" t="s">
        <v>79</v>
      </c>
      <c r="E249" s="21" t="s">
        <v>79</v>
      </c>
      <c r="F249" s="40"/>
      <c r="G249" s="4"/>
      <c r="H249" s="4"/>
      <c r="K249" s="41" t="str">
        <f>IFERROR(__xludf.DUMMYFUNCTION("""COMPUTED_VALUE"""),"")</f>
        <v/>
      </c>
      <c r="L249" s="42" t="s">
        <v>79</v>
      </c>
      <c r="M249" s="42" t="s">
        <v>79</v>
      </c>
    </row>
    <row r="250">
      <c r="A250" s="30"/>
      <c r="B250" s="37" t="s">
        <v>79</v>
      </c>
      <c r="E250" s="21" t="s">
        <v>79</v>
      </c>
      <c r="F250" s="40"/>
      <c r="G250" s="4"/>
      <c r="H250" s="4"/>
      <c r="K250" s="41" t="str">
        <f>IFERROR(__xludf.DUMMYFUNCTION("""COMPUTED_VALUE"""),"")</f>
        <v/>
      </c>
      <c r="L250" s="42" t="s">
        <v>79</v>
      </c>
      <c r="M250" s="42" t="s">
        <v>79</v>
      </c>
    </row>
    <row r="251">
      <c r="A251" s="30"/>
      <c r="B251" s="37" t="s">
        <v>79</v>
      </c>
      <c r="E251" s="21" t="s">
        <v>79</v>
      </c>
      <c r="F251" s="40"/>
      <c r="G251" s="4"/>
      <c r="H251" s="4"/>
      <c r="K251" s="41" t="str">
        <f>IFERROR(__xludf.DUMMYFUNCTION("""COMPUTED_VALUE"""),"")</f>
        <v/>
      </c>
      <c r="L251" s="42" t="s">
        <v>79</v>
      </c>
      <c r="M251" s="42" t="s">
        <v>79</v>
      </c>
    </row>
    <row r="252">
      <c r="A252" s="30"/>
      <c r="B252" s="37" t="s">
        <v>79</v>
      </c>
      <c r="E252" s="21" t="s">
        <v>79</v>
      </c>
      <c r="F252" s="40"/>
      <c r="G252" s="4"/>
      <c r="H252" s="4"/>
      <c r="K252" s="41" t="str">
        <f>IFERROR(__xludf.DUMMYFUNCTION("""COMPUTED_VALUE"""),"")</f>
        <v/>
      </c>
      <c r="L252" s="42" t="s">
        <v>79</v>
      </c>
      <c r="M252" s="42" t="s">
        <v>79</v>
      </c>
    </row>
    <row r="253">
      <c r="A253" s="30"/>
      <c r="B253" s="37" t="s">
        <v>79</v>
      </c>
      <c r="E253" s="21" t="s">
        <v>79</v>
      </c>
      <c r="F253" s="40"/>
      <c r="G253" s="4"/>
      <c r="H253" s="4"/>
      <c r="K253" s="41" t="str">
        <f>IFERROR(__xludf.DUMMYFUNCTION("""COMPUTED_VALUE"""),"")</f>
        <v/>
      </c>
      <c r="L253" s="42" t="s">
        <v>79</v>
      </c>
      <c r="M253" s="42" t="s">
        <v>79</v>
      </c>
    </row>
    <row r="254">
      <c r="A254" s="30"/>
      <c r="B254" s="37" t="s">
        <v>79</v>
      </c>
      <c r="E254" s="21" t="s">
        <v>79</v>
      </c>
      <c r="F254" s="40"/>
      <c r="G254" s="4"/>
      <c r="H254" s="4"/>
      <c r="K254" s="41" t="str">
        <f>IFERROR(__xludf.DUMMYFUNCTION("""COMPUTED_VALUE"""),"")</f>
        <v/>
      </c>
      <c r="L254" s="42" t="s">
        <v>79</v>
      </c>
      <c r="M254" s="42" t="s">
        <v>79</v>
      </c>
    </row>
    <row r="255">
      <c r="A255" s="30"/>
      <c r="B255" s="37" t="s">
        <v>79</v>
      </c>
      <c r="E255" s="21" t="s">
        <v>79</v>
      </c>
      <c r="F255" s="40"/>
      <c r="G255" s="4"/>
      <c r="H255" s="4"/>
      <c r="K255" s="41" t="str">
        <f>IFERROR(__xludf.DUMMYFUNCTION("""COMPUTED_VALUE"""),"")</f>
        <v/>
      </c>
      <c r="L255" s="42" t="s">
        <v>79</v>
      </c>
      <c r="M255" s="42" t="s">
        <v>79</v>
      </c>
    </row>
    <row r="256">
      <c r="A256" s="30"/>
      <c r="B256" s="37" t="s">
        <v>79</v>
      </c>
      <c r="E256" s="21" t="s">
        <v>79</v>
      </c>
      <c r="F256" s="40"/>
      <c r="G256" s="4"/>
      <c r="H256" s="4"/>
      <c r="K256" s="41" t="str">
        <f>IFERROR(__xludf.DUMMYFUNCTION("""COMPUTED_VALUE"""),"")</f>
        <v/>
      </c>
      <c r="L256" s="42" t="s">
        <v>79</v>
      </c>
      <c r="M256" s="42" t="s">
        <v>79</v>
      </c>
    </row>
    <row r="257">
      <c r="A257" s="30"/>
      <c r="B257" s="37" t="s">
        <v>79</v>
      </c>
      <c r="E257" s="21" t="s">
        <v>79</v>
      </c>
      <c r="F257" s="40"/>
      <c r="G257" s="4"/>
      <c r="H257" s="4"/>
      <c r="K257" s="41" t="str">
        <f>IFERROR(__xludf.DUMMYFUNCTION("""COMPUTED_VALUE"""),"")</f>
        <v/>
      </c>
      <c r="L257" s="42" t="s">
        <v>79</v>
      </c>
      <c r="M257" s="42" t="s">
        <v>79</v>
      </c>
    </row>
    <row r="258">
      <c r="A258" s="30"/>
      <c r="B258" s="37" t="s">
        <v>79</v>
      </c>
      <c r="E258" s="21" t="s">
        <v>79</v>
      </c>
      <c r="F258" s="40"/>
      <c r="G258" s="4"/>
      <c r="H258" s="4"/>
      <c r="K258" s="41" t="str">
        <f>IFERROR(__xludf.DUMMYFUNCTION("""COMPUTED_VALUE"""),"")</f>
        <v/>
      </c>
      <c r="L258" s="42" t="s">
        <v>79</v>
      </c>
      <c r="M258" s="42" t="s">
        <v>79</v>
      </c>
    </row>
    <row r="259">
      <c r="A259" s="30"/>
      <c r="B259" s="37" t="s">
        <v>79</v>
      </c>
      <c r="E259" s="21" t="s">
        <v>79</v>
      </c>
      <c r="F259" s="40"/>
      <c r="G259" s="4"/>
      <c r="H259" s="4"/>
      <c r="K259" s="41" t="str">
        <f>IFERROR(__xludf.DUMMYFUNCTION("""COMPUTED_VALUE"""),"")</f>
        <v/>
      </c>
      <c r="L259" s="42" t="s">
        <v>79</v>
      </c>
      <c r="M259" s="42" t="s">
        <v>79</v>
      </c>
    </row>
    <row r="260">
      <c r="A260" s="30"/>
      <c r="B260" s="37" t="s">
        <v>79</v>
      </c>
      <c r="E260" s="21" t="s">
        <v>79</v>
      </c>
      <c r="F260" s="40"/>
      <c r="G260" s="4"/>
      <c r="H260" s="4"/>
      <c r="K260" s="41" t="str">
        <f>IFERROR(__xludf.DUMMYFUNCTION("""COMPUTED_VALUE"""),"")</f>
        <v/>
      </c>
      <c r="L260" s="42" t="s">
        <v>79</v>
      </c>
      <c r="M260" s="42" t="s">
        <v>79</v>
      </c>
    </row>
    <row r="261">
      <c r="A261" s="30"/>
      <c r="B261" s="37" t="s">
        <v>79</v>
      </c>
      <c r="E261" s="21" t="s">
        <v>79</v>
      </c>
      <c r="F261" s="40"/>
      <c r="G261" s="4"/>
      <c r="H261" s="4"/>
      <c r="K261" s="41" t="str">
        <f>IFERROR(__xludf.DUMMYFUNCTION("""COMPUTED_VALUE"""),"")</f>
        <v/>
      </c>
      <c r="L261" s="42" t="s">
        <v>79</v>
      </c>
      <c r="M261" s="42" t="s">
        <v>79</v>
      </c>
    </row>
    <row r="262">
      <c r="A262" s="30"/>
      <c r="B262" s="37" t="s">
        <v>79</v>
      </c>
      <c r="E262" s="21" t="s">
        <v>79</v>
      </c>
      <c r="F262" s="40"/>
      <c r="G262" s="4"/>
      <c r="H262" s="4"/>
      <c r="K262" s="41" t="str">
        <f>IFERROR(__xludf.DUMMYFUNCTION("""COMPUTED_VALUE"""),"")</f>
        <v/>
      </c>
      <c r="L262" s="42" t="s">
        <v>79</v>
      </c>
      <c r="M262" s="42" t="s">
        <v>79</v>
      </c>
    </row>
    <row r="263">
      <c r="A263" s="30"/>
      <c r="B263" s="37" t="s">
        <v>79</v>
      </c>
      <c r="E263" s="21" t="s">
        <v>79</v>
      </c>
      <c r="F263" s="40"/>
      <c r="G263" s="4"/>
      <c r="H263" s="4"/>
      <c r="K263" s="41" t="str">
        <f>IFERROR(__xludf.DUMMYFUNCTION("""COMPUTED_VALUE"""),"")</f>
        <v/>
      </c>
      <c r="L263" s="42" t="s">
        <v>79</v>
      </c>
      <c r="M263" s="42" t="s">
        <v>79</v>
      </c>
    </row>
    <row r="264">
      <c r="A264" s="30"/>
      <c r="B264" s="37" t="s">
        <v>79</v>
      </c>
      <c r="E264" s="21" t="s">
        <v>79</v>
      </c>
      <c r="F264" s="40"/>
      <c r="G264" s="4"/>
      <c r="H264" s="4"/>
      <c r="K264" s="41" t="str">
        <f>IFERROR(__xludf.DUMMYFUNCTION("""COMPUTED_VALUE"""),"")</f>
        <v/>
      </c>
      <c r="L264" s="42" t="s">
        <v>79</v>
      </c>
      <c r="M264" s="42" t="s">
        <v>79</v>
      </c>
    </row>
    <row r="265">
      <c r="A265" s="30"/>
      <c r="B265" s="37" t="s">
        <v>79</v>
      </c>
      <c r="E265" s="21" t="s">
        <v>79</v>
      </c>
      <c r="F265" s="40"/>
      <c r="G265" s="4"/>
      <c r="H265" s="4"/>
      <c r="K265" s="41" t="str">
        <f>IFERROR(__xludf.DUMMYFUNCTION("""COMPUTED_VALUE"""),"")</f>
        <v/>
      </c>
      <c r="L265" s="42" t="s">
        <v>79</v>
      </c>
      <c r="M265" s="42" t="s">
        <v>79</v>
      </c>
    </row>
    <row r="266">
      <c r="A266" s="30"/>
      <c r="B266" s="37" t="s">
        <v>79</v>
      </c>
      <c r="E266" s="21" t="s">
        <v>79</v>
      </c>
      <c r="F266" s="40"/>
      <c r="G266" s="4"/>
      <c r="H266" s="4"/>
      <c r="K266" s="41" t="str">
        <f>IFERROR(__xludf.DUMMYFUNCTION("""COMPUTED_VALUE"""),"")</f>
        <v/>
      </c>
      <c r="L266" s="42" t="s">
        <v>79</v>
      </c>
      <c r="M266" s="42" t="s">
        <v>79</v>
      </c>
    </row>
    <row r="267">
      <c r="A267" s="30"/>
      <c r="B267" s="37" t="s">
        <v>79</v>
      </c>
      <c r="E267" s="21" t="s">
        <v>79</v>
      </c>
      <c r="F267" s="40"/>
      <c r="G267" s="4"/>
      <c r="H267" s="4"/>
      <c r="K267" s="41" t="str">
        <f>IFERROR(__xludf.DUMMYFUNCTION("""COMPUTED_VALUE"""),"")</f>
        <v/>
      </c>
      <c r="L267" s="42" t="s">
        <v>79</v>
      </c>
      <c r="M267" s="42" t="s">
        <v>79</v>
      </c>
    </row>
    <row r="268">
      <c r="A268" s="30"/>
      <c r="B268" s="37" t="s">
        <v>79</v>
      </c>
      <c r="E268" s="21" t="s">
        <v>79</v>
      </c>
      <c r="F268" s="40"/>
      <c r="G268" s="4"/>
      <c r="H268" s="4"/>
      <c r="K268" s="41" t="str">
        <f>IFERROR(__xludf.DUMMYFUNCTION("""COMPUTED_VALUE"""),"")</f>
        <v/>
      </c>
      <c r="L268" s="42" t="s">
        <v>79</v>
      </c>
      <c r="M268" s="42" t="s">
        <v>79</v>
      </c>
    </row>
    <row r="269">
      <c r="A269" s="30"/>
      <c r="B269" s="37" t="s">
        <v>79</v>
      </c>
      <c r="E269" s="21" t="s">
        <v>79</v>
      </c>
      <c r="F269" s="40"/>
      <c r="G269" s="4"/>
      <c r="H269" s="4"/>
      <c r="K269" s="41" t="str">
        <f>IFERROR(__xludf.DUMMYFUNCTION("""COMPUTED_VALUE"""),"")</f>
        <v/>
      </c>
      <c r="L269" s="42" t="s">
        <v>79</v>
      </c>
      <c r="M269" s="42" t="s">
        <v>79</v>
      </c>
    </row>
    <row r="270">
      <c r="A270" s="30"/>
      <c r="B270" s="37" t="s">
        <v>79</v>
      </c>
      <c r="E270" s="21" t="s">
        <v>79</v>
      </c>
      <c r="F270" s="40"/>
      <c r="G270" s="4"/>
      <c r="H270" s="4"/>
      <c r="K270" s="41" t="str">
        <f>IFERROR(__xludf.DUMMYFUNCTION("""COMPUTED_VALUE"""),"")</f>
        <v/>
      </c>
      <c r="L270" s="42" t="s">
        <v>79</v>
      </c>
      <c r="M270" s="42" t="s">
        <v>79</v>
      </c>
    </row>
    <row r="271">
      <c r="A271" s="30"/>
      <c r="B271" s="37" t="s">
        <v>79</v>
      </c>
      <c r="E271" s="21" t="s">
        <v>79</v>
      </c>
      <c r="F271" s="40"/>
      <c r="G271" s="4"/>
      <c r="H271" s="4"/>
      <c r="K271" s="41" t="str">
        <f>IFERROR(__xludf.DUMMYFUNCTION("""COMPUTED_VALUE"""),"")</f>
        <v/>
      </c>
      <c r="L271" s="42" t="s">
        <v>79</v>
      </c>
      <c r="M271" s="42" t="s">
        <v>79</v>
      </c>
    </row>
    <row r="272">
      <c r="A272" s="30"/>
      <c r="B272" s="37" t="s">
        <v>79</v>
      </c>
      <c r="E272" s="21" t="s">
        <v>79</v>
      </c>
      <c r="F272" s="40"/>
      <c r="G272" s="4"/>
      <c r="H272" s="4"/>
      <c r="K272" s="41" t="str">
        <f>IFERROR(__xludf.DUMMYFUNCTION("""COMPUTED_VALUE"""),"")</f>
        <v/>
      </c>
      <c r="L272" s="42" t="s">
        <v>79</v>
      </c>
      <c r="M272" s="42" t="s">
        <v>79</v>
      </c>
    </row>
    <row r="273">
      <c r="A273" s="30"/>
      <c r="B273" s="37" t="s">
        <v>79</v>
      </c>
      <c r="E273" s="21" t="s">
        <v>79</v>
      </c>
      <c r="F273" s="40"/>
      <c r="G273" s="4"/>
      <c r="H273" s="4"/>
      <c r="K273" s="41" t="str">
        <f>IFERROR(__xludf.DUMMYFUNCTION("""COMPUTED_VALUE"""),"")</f>
        <v/>
      </c>
      <c r="L273" s="42" t="s">
        <v>79</v>
      </c>
      <c r="M273" s="42" t="s">
        <v>79</v>
      </c>
    </row>
    <row r="274">
      <c r="A274" s="30"/>
      <c r="B274" s="37" t="s">
        <v>79</v>
      </c>
      <c r="E274" s="21" t="s">
        <v>79</v>
      </c>
      <c r="F274" s="40"/>
      <c r="G274" s="4"/>
      <c r="H274" s="4"/>
      <c r="K274" s="41" t="str">
        <f>IFERROR(__xludf.DUMMYFUNCTION("""COMPUTED_VALUE"""),"")</f>
        <v/>
      </c>
      <c r="L274" s="42" t="s">
        <v>79</v>
      </c>
      <c r="M274" s="42" t="s">
        <v>79</v>
      </c>
    </row>
    <row r="275">
      <c r="A275" s="30"/>
      <c r="B275" s="37" t="s">
        <v>79</v>
      </c>
      <c r="E275" s="21" t="s">
        <v>79</v>
      </c>
      <c r="F275" s="40"/>
      <c r="G275" s="4"/>
      <c r="H275" s="4"/>
      <c r="K275" s="41" t="str">
        <f>IFERROR(__xludf.DUMMYFUNCTION("""COMPUTED_VALUE"""),"")</f>
        <v/>
      </c>
      <c r="L275" s="42" t="s">
        <v>79</v>
      </c>
      <c r="M275" s="42" t="s">
        <v>79</v>
      </c>
    </row>
    <row r="276">
      <c r="A276" s="30"/>
      <c r="B276" s="37" t="s">
        <v>79</v>
      </c>
      <c r="E276" s="21" t="s">
        <v>79</v>
      </c>
      <c r="F276" s="40"/>
      <c r="G276" s="4"/>
      <c r="H276" s="4"/>
      <c r="K276" s="41" t="str">
        <f>IFERROR(__xludf.DUMMYFUNCTION("""COMPUTED_VALUE"""),"")</f>
        <v/>
      </c>
      <c r="L276" s="42" t="s">
        <v>79</v>
      </c>
      <c r="M276" s="42" t="s">
        <v>79</v>
      </c>
    </row>
    <row r="277">
      <c r="A277" s="30"/>
      <c r="B277" s="37" t="s">
        <v>79</v>
      </c>
      <c r="E277" s="21" t="s">
        <v>79</v>
      </c>
      <c r="F277" s="40"/>
      <c r="G277" s="4"/>
      <c r="H277" s="4"/>
      <c r="K277" s="41" t="str">
        <f>IFERROR(__xludf.DUMMYFUNCTION("""COMPUTED_VALUE"""),"")</f>
        <v/>
      </c>
      <c r="L277" s="42" t="s">
        <v>79</v>
      </c>
      <c r="M277" s="42" t="s">
        <v>79</v>
      </c>
    </row>
    <row r="278">
      <c r="A278" s="30"/>
      <c r="B278" s="37" t="s">
        <v>79</v>
      </c>
      <c r="E278" s="21" t="s">
        <v>79</v>
      </c>
      <c r="F278" s="40"/>
      <c r="G278" s="4"/>
      <c r="H278" s="4"/>
      <c r="K278" s="41" t="str">
        <f>IFERROR(__xludf.DUMMYFUNCTION("""COMPUTED_VALUE"""),"")</f>
        <v/>
      </c>
      <c r="L278" s="42" t="s">
        <v>79</v>
      </c>
      <c r="M278" s="42" t="s">
        <v>79</v>
      </c>
    </row>
    <row r="279">
      <c r="A279" s="30"/>
      <c r="B279" s="37" t="s">
        <v>79</v>
      </c>
      <c r="E279" s="21" t="s">
        <v>79</v>
      </c>
      <c r="F279" s="40"/>
      <c r="G279" s="4"/>
      <c r="H279" s="4"/>
      <c r="K279" s="41" t="str">
        <f>IFERROR(__xludf.DUMMYFUNCTION("""COMPUTED_VALUE"""),"")</f>
        <v/>
      </c>
      <c r="L279" s="42" t="s">
        <v>79</v>
      </c>
      <c r="M279" s="42" t="s">
        <v>79</v>
      </c>
    </row>
    <row r="280">
      <c r="A280" s="30"/>
      <c r="B280" s="37" t="s">
        <v>79</v>
      </c>
      <c r="E280" s="21" t="s">
        <v>79</v>
      </c>
      <c r="F280" s="40"/>
      <c r="G280" s="4"/>
      <c r="H280" s="4"/>
      <c r="K280" s="41" t="str">
        <f>IFERROR(__xludf.DUMMYFUNCTION("""COMPUTED_VALUE"""),"")</f>
        <v/>
      </c>
      <c r="L280" s="42" t="s">
        <v>79</v>
      </c>
      <c r="M280" s="42" t="s">
        <v>79</v>
      </c>
    </row>
    <row r="281">
      <c r="A281" s="30"/>
      <c r="B281" s="37" t="s">
        <v>79</v>
      </c>
      <c r="E281" s="21" t="s">
        <v>79</v>
      </c>
      <c r="F281" s="40"/>
      <c r="G281" s="4"/>
      <c r="H281" s="4"/>
      <c r="K281" s="41" t="str">
        <f>IFERROR(__xludf.DUMMYFUNCTION("""COMPUTED_VALUE"""),"")</f>
        <v/>
      </c>
      <c r="L281" s="42" t="s">
        <v>79</v>
      </c>
      <c r="M281" s="42" t="s">
        <v>79</v>
      </c>
    </row>
    <row r="282">
      <c r="A282" s="30"/>
      <c r="B282" s="37" t="s">
        <v>79</v>
      </c>
      <c r="E282" s="21" t="s">
        <v>79</v>
      </c>
      <c r="F282" s="40"/>
      <c r="G282" s="4"/>
      <c r="H282" s="4"/>
      <c r="K282" s="41" t="str">
        <f>IFERROR(__xludf.DUMMYFUNCTION("""COMPUTED_VALUE"""),"")</f>
        <v/>
      </c>
      <c r="L282" s="42" t="s">
        <v>79</v>
      </c>
      <c r="M282" s="42" t="s">
        <v>79</v>
      </c>
    </row>
    <row r="283">
      <c r="A283" s="30"/>
      <c r="B283" s="37" t="s">
        <v>79</v>
      </c>
      <c r="E283" s="21" t="s">
        <v>79</v>
      </c>
      <c r="F283" s="40"/>
      <c r="G283" s="4"/>
      <c r="H283" s="4"/>
      <c r="K283" s="41" t="str">
        <f>IFERROR(__xludf.DUMMYFUNCTION("""COMPUTED_VALUE"""),"")</f>
        <v/>
      </c>
      <c r="L283" s="42" t="s">
        <v>79</v>
      </c>
      <c r="M283" s="42" t="s">
        <v>79</v>
      </c>
    </row>
    <row r="284">
      <c r="A284" s="30"/>
      <c r="B284" s="37" t="s">
        <v>79</v>
      </c>
      <c r="E284" s="21" t="s">
        <v>79</v>
      </c>
      <c r="F284" s="40"/>
      <c r="G284" s="4"/>
      <c r="H284" s="4"/>
      <c r="K284" s="41" t="str">
        <f>IFERROR(__xludf.DUMMYFUNCTION("""COMPUTED_VALUE"""),"")</f>
        <v/>
      </c>
      <c r="L284" s="42" t="s">
        <v>79</v>
      </c>
      <c r="M284" s="42" t="s">
        <v>79</v>
      </c>
    </row>
    <row r="285">
      <c r="A285" s="30"/>
      <c r="B285" s="37" t="s">
        <v>79</v>
      </c>
      <c r="E285" s="21" t="s">
        <v>79</v>
      </c>
      <c r="F285" s="40"/>
      <c r="G285" s="4"/>
      <c r="H285" s="4"/>
      <c r="K285" s="41" t="str">
        <f>IFERROR(__xludf.DUMMYFUNCTION("""COMPUTED_VALUE"""),"")</f>
        <v/>
      </c>
      <c r="L285" s="42" t="s">
        <v>79</v>
      </c>
      <c r="M285" s="42" t="s">
        <v>79</v>
      </c>
    </row>
    <row r="286">
      <c r="A286" s="30"/>
      <c r="B286" s="37" t="s">
        <v>79</v>
      </c>
      <c r="E286" s="21" t="s">
        <v>79</v>
      </c>
      <c r="F286" s="40"/>
      <c r="G286" s="4"/>
      <c r="H286" s="4"/>
      <c r="K286" s="41" t="str">
        <f>IFERROR(__xludf.DUMMYFUNCTION("""COMPUTED_VALUE"""),"")</f>
        <v/>
      </c>
      <c r="L286" s="42" t="s">
        <v>79</v>
      </c>
      <c r="M286" s="42" t="s">
        <v>79</v>
      </c>
    </row>
    <row r="287">
      <c r="A287" s="30"/>
      <c r="B287" s="37" t="s">
        <v>79</v>
      </c>
      <c r="E287" s="21" t="s">
        <v>79</v>
      </c>
      <c r="F287" s="40"/>
      <c r="G287" s="4"/>
      <c r="H287" s="4"/>
      <c r="K287" s="41" t="str">
        <f>IFERROR(__xludf.DUMMYFUNCTION("""COMPUTED_VALUE"""),"")</f>
        <v/>
      </c>
      <c r="L287" s="42" t="s">
        <v>79</v>
      </c>
      <c r="M287" s="42" t="s">
        <v>79</v>
      </c>
    </row>
    <row r="288">
      <c r="A288" s="30"/>
      <c r="B288" s="37" t="s">
        <v>79</v>
      </c>
      <c r="E288" s="21" t="s">
        <v>79</v>
      </c>
      <c r="F288" s="40"/>
      <c r="G288" s="4"/>
      <c r="H288" s="4"/>
      <c r="K288" s="41" t="str">
        <f>IFERROR(__xludf.DUMMYFUNCTION("""COMPUTED_VALUE"""),"")</f>
        <v/>
      </c>
      <c r="L288" s="42" t="s">
        <v>79</v>
      </c>
      <c r="M288" s="42" t="s">
        <v>79</v>
      </c>
    </row>
    <row r="289">
      <c r="A289" s="30"/>
      <c r="B289" s="37" t="s">
        <v>79</v>
      </c>
      <c r="E289" s="21" t="s">
        <v>79</v>
      </c>
      <c r="F289" s="40"/>
      <c r="G289" s="4"/>
      <c r="H289" s="4"/>
      <c r="K289" s="41" t="str">
        <f>IFERROR(__xludf.DUMMYFUNCTION("""COMPUTED_VALUE"""),"")</f>
        <v/>
      </c>
      <c r="L289" s="42" t="s">
        <v>79</v>
      </c>
      <c r="M289" s="42" t="s">
        <v>79</v>
      </c>
    </row>
    <row r="290">
      <c r="A290" s="30"/>
      <c r="B290" s="37" t="s">
        <v>79</v>
      </c>
      <c r="E290" s="21" t="s">
        <v>79</v>
      </c>
      <c r="F290" s="40"/>
      <c r="G290" s="4"/>
      <c r="H290" s="4"/>
      <c r="K290" s="41" t="str">
        <f>IFERROR(__xludf.DUMMYFUNCTION("""COMPUTED_VALUE"""),"")</f>
        <v/>
      </c>
      <c r="L290" s="42" t="s">
        <v>79</v>
      </c>
      <c r="M290" s="42" t="s">
        <v>79</v>
      </c>
    </row>
    <row r="291">
      <c r="A291" s="30"/>
      <c r="B291" s="37" t="s">
        <v>79</v>
      </c>
      <c r="E291" s="21" t="s">
        <v>79</v>
      </c>
      <c r="F291" s="40"/>
      <c r="G291" s="4"/>
      <c r="H291" s="4"/>
      <c r="K291" s="41" t="str">
        <f>IFERROR(__xludf.DUMMYFUNCTION("""COMPUTED_VALUE"""),"")</f>
        <v/>
      </c>
      <c r="L291" s="42" t="s">
        <v>79</v>
      </c>
      <c r="M291" s="42" t="s">
        <v>79</v>
      </c>
    </row>
    <row r="292">
      <c r="A292" s="30"/>
      <c r="B292" s="37" t="s">
        <v>79</v>
      </c>
      <c r="E292" s="21" t="s">
        <v>79</v>
      </c>
      <c r="F292" s="40"/>
      <c r="G292" s="4"/>
      <c r="H292" s="4"/>
      <c r="K292" s="41" t="str">
        <f>IFERROR(__xludf.DUMMYFUNCTION("""COMPUTED_VALUE"""),"")</f>
        <v/>
      </c>
      <c r="L292" s="42" t="s">
        <v>79</v>
      </c>
      <c r="M292" s="42" t="s">
        <v>79</v>
      </c>
    </row>
    <row r="293">
      <c r="A293" s="30"/>
      <c r="B293" s="37" t="s">
        <v>79</v>
      </c>
      <c r="E293" s="21" t="s">
        <v>79</v>
      </c>
      <c r="F293" s="40"/>
      <c r="G293" s="4"/>
      <c r="H293" s="4"/>
      <c r="K293" s="41" t="str">
        <f>IFERROR(__xludf.DUMMYFUNCTION("""COMPUTED_VALUE"""),"")</f>
        <v/>
      </c>
      <c r="L293" s="42" t="s">
        <v>79</v>
      </c>
      <c r="M293" s="42" t="s">
        <v>79</v>
      </c>
    </row>
    <row r="294">
      <c r="A294" s="30"/>
      <c r="B294" s="37" t="s">
        <v>79</v>
      </c>
      <c r="E294" s="21" t="s">
        <v>79</v>
      </c>
      <c r="F294" s="40"/>
      <c r="G294" s="4"/>
      <c r="H294" s="4"/>
      <c r="K294" s="41" t="str">
        <f>IFERROR(__xludf.DUMMYFUNCTION("""COMPUTED_VALUE"""),"")</f>
        <v/>
      </c>
      <c r="L294" s="42" t="s">
        <v>79</v>
      </c>
      <c r="M294" s="42" t="s">
        <v>79</v>
      </c>
    </row>
    <row r="295">
      <c r="A295" s="30"/>
      <c r="B295" s="37" t="s">
        <v>79</v>
      </c>
      <c r="E295" s="21" t="s">
        <v>79</v>
      </c>
      <c r="F295" s="40"/>
      <c r="G295" s="4"/>
      <c r="H295" s="4"/>
      <c r="K295" s="41" t="str">
        <f>IFERROR(__xludf.DUMMYFUNCTION("""COMPUTED_VALUE"""),"")</f>
        <v/>
      </c>
      <c r="L295" s="42" t="s">
        <v>79</v>
      </c>
      <c r="M295" s="42" t="s">
        <v>79</v>
      </c>
    </row>
    <row r="296">
      <c r="A296" s="30"/>
      <c r="B296" s="37" t="s">
        <v>79</v>
      </c>
      <c r="E296" s="21" t="s">
        <v>79</v>
      </c>
      <c r="F296" s="40"/>
      <c r="G296" s="4"/>
      <c r="H296" s="4"/>
      <c r="K296" s="41" t="str">
        <f>IFERROR(__xludf.DUMMYFUNCTION("""COMPUTED_VALUE"""),"")</f>
        <v/>
      </c>
      <c r="L296" s="42" t="s">
        <v>79</v>
      </c>
      <c r="M296" s="42" t="s">
        <v>79</v>
      </c>
    </row>
    <row r="297">
      <c r="A297" s="30"/>
      <c r="B297" s="37" t="s">
        <v>79</v>
      </c>
      <c r="E297" s="21" t="s">
        <v>79</v>
      </c>
      <c r="F297" s="40"/>
      <c r="G297" s="4"/>
      <c r="H297" s="4"/>
      <c r="K297" s="41" t="str">
        <f>IFERROR(__xludf.DUMMYFUNCTION("""COMPUTED_VALUE"""),"")</f>
        <v/>
      </c>
      <c r="L297" s="42" t="s">
        <v>79</v>
      </c>
      <c r="M297" s="42" t="s">
        <v>79</v>
      </c>
    </row>
    <row r="298">
      <c r="A298" s="30"/>
      <c r="B298" s="37" t="s">
        <v>79</v>
      </c>
      <c r="E298" s="21" t="s">
        <v>79</v>
      </c>
      <c r="F298" s="40"/>
      <c r="G298" s="4"/>
      <c r="H298" s="4"/>
      <c r="K298" s="41" t="str">
        <f>IFERROR(__xludf.DUMMYFUNCTION("""COMPUTED_VALUE"""),"")</f>
        <v/>
      </c>
      <c r="L298" s="42" t="s">
        <v>79</v>
      </c>
      <c r="M298" s="42" t="s">
        <v>79</v>
      </c>
    </row>
    <row r="299">
      <c r="A299" s="30"/>
      <c r="B299" s="37" t="s">
        <v>79</v>
      </c>
      <c r="E299" s="21" t="s">
        <v>79</v>
      </c>
      <c r="F299" s="40"/>
      <c r="G299" s="4"/>
      <c r="H299" s="4"/>
      <c r="K299" s="41" t="str">
        <f>IFERROR(__xludf.DUMMYFUNCTION("""COMPUTED_VALUE"""),"")</f>
        <v/>
      </c>
      <c r="L299" s="42" t="s">
        <v>79</v>
      </c>
      <c r="M299" s="42" t="s">
        <v>79</v>
      </c>
    </row>
    <row r="300">
      <c r="A300" s="30"/>
      <c r="B300" s="37" t="s">
        <v>79</v>
      </c>
      <c r="E300" s="21" t="s">
        <v>79</v>
      </c>
      <c r="F300" s="40"/>
      <c r="G300" s="4"/>
      <c r="H300" s="4"/>
      <c r="K300" s="41" t="str">
        <f>IFERROR(__xludf.DUMMYFUNCTION("""COMPUTED_VALUE"""),"")</f>
        <v/>
      </c>
      <c r="L300" s="42" t="s">
        <v>79</v>
      </c>
      <c r="M300" s="42" t="s">
        <v>79</v>
      </c>
    </row>
    <row r="301">
      <c r="A301" s="30"/>
      <c r="B301" s="37" t="s">
        <v>79</v>
      </c>
      <c r="E301" s="21" t="s">
        <v>79</v>
      </c>
      <c r="F301" s="40"/>
      <c r="G301" s="4"/>
      <c r="H301" s="4"/>
      <c r="K301" s="41" t="str">
        <f>IFERROR(__xludf.DUMMYFUNCTION("""COMPUTED_VALUE"""),"")</f>
        <v/>
      </c>
      <c r="L301" s="42" t="s">
        <v>79</v>
      </c>
      <c r="M301" s="42" t="s">
        <v>79</v>
      </c>
    </row>
    <row r="302">
      <c r="A302" s="30"/>
      <c r="B302" s="37" t="s">
        <v>79</v>
      </c>
      <c r="E302" s="21" t="s">
        <v>79</v>
      </c>
      <c r="F302" s="40"/>
      <c r="G302" s="4"/>
      <c r="H302" s="4"/>
      <c r="K302" s="41" t="str">
        <f>IFERROR(__xludf.DUMMYFUNCTION("""COMPUTED_VALUE"""),"")</f>
        <v/>
      </c>
      <c r="L302" s="42" t="s">
        <v>79</v>
      </c>
      <c r="M302" s="42" t="s">
        <v>79</v>
      </c>
    </row>
    <row r="303">
      <c r="A303" s="30"/>
      <c r="B303" s="37" t="s">
        <v>79</v>
      </c>
      <c r="E303" s="21" t="s">
        <v>79</v>
      </c>
      <c r="F303" s="40"/>
      <c r="G303" s="4"/>
      <c r="H303" s="4"/>
      <c r="K303" s="41" t="str">
        <f>IFERROR(__xludf.DUMMYFUNCTION("""COMPUTED_VALUE"""),"")</f>
        <v/>
      </c>
      <c r="L303" s="42" t="s">
        <v>79</v>
      </c>
      <c r="M303" s="42" t="s">
        <v>79</v>
      </c>
    </row>
    <row r="304">
      <c r="A304" s="30"/>
      <c r="B304" s="37" t="s">
        <v>79</v>
      </c>
      <c r="E304" s="21" t="s">
        <v>79</v>
      </c>
      <c r="F304" s="40"/>
      <c r="G304" s="4"/>
      <c r="H304" s="4"/>
      <c r="K304" s="41" t="str">
        <f>IFERROR(__xludf.DUMMYFUNCTION("""COMPUTED_VALUE"""),"")</f>
        <v/>
      </c>
      <c r="L304" s="42" t="s">
        <v>79</v>
      </c>
      <c r="M304" s="42" t="s">
        <v>79</v>
      </c>
    </row>
    <row r="305">
      <c r="A305" s="30"/>
      <c r="B305" s="37" t="s">
        <v>79</v>
      </c>
      <c r="E305" s="21" t="s">
        <v>79</v>
      </c>
      <c r="F305" s="40"/>
      <c r="G305" s="4"/>
      <c r="H305" s="4"/>
      <c r="K305" s="41" t="str">
        <f>IFERROR(__xludf.DUMMYFUNCTION("""COMPUTED_VALUE"""),"")</f>
        <v/>
      </c>
      <c r="L305" s="42" t="s">
        <v>79</v>
      </c>
      <c r="M305" s="42" t="s">
        <v>79</v>
      </c>
    </row>
    <row r="306">
      <c r="A306" s="30"/>
      <c r="B306" s="37" t="s">
        <v>79</v>
      </c>
      <c r="E306" s="21" t="s">
        <v>79</v>
      </c>
      <c r="F306" s="40"/>
      <c r="G306" s="4"/>
      <c r="H306" s="4"/>
      <c r="K306" s="41" t="str">
        <f>IFERROR(__xludf.DUMMYFUNCTION("""COMPUTED_VALUE"""),"")</f>
        <v/>
      </c>
      <c r="L306" s="42" t="s">
        <v>79</v>
      </c>
      <c r="M306" s="42" t="s">
        <v>79</v>
      </c>
    </row>
    <row r="307">
      <c r="A307" s="30"/>
      <c r="B307" s="37" t="s">
        <v>79</v>
      </c>
      <c r="E307" s="21" t="s">
        <v>79</v>
      </c>
      <c r="F307" s="40"/>
      <c r="G307" s="4"/>
      <c r="H307" s="4"/>
      <c r="K307" s="41" t="str">
        <f>IFERROR(__xludf.DUMMYFUNCTION("""COMPUTED_VALUE"""),"")</f>
        <v/>
      </c>
      <c r="L307" s="42" t="s">
        <v>79</v>
      </c>
      <c r="M307" s="42" t="s">
        <v>79</v>
      </c>
    </row>
    <row r="308">
      <c r="A308" s="30"/>
      <c r="B308" s="37" t="s">
        <v>79</v>
      </c>
      <c r="E308" s="21" t="s">
        <v>79</v>
      </c>
      <c r="F308" s="40"/>
      <c r="G308" s="4"/>
      <c r="H308" s="4"/>
      <c r="K308" s="41" t="str">
        <f>IFERROR(__xludf.DUMMYFUNCTION("""COMPUTED_VALUE"""),"")</f>
        <v/>
      </c>
      <c r="L308" s="42" t="s">
        <v>79</v>
      </c>
      <c r="M308" s="42" t="s">
        <v>79</v>
      </c>
    </row>
    <row r="309">
      <c r="A309" s="30"/>
      <c r="B309" s="37" t="s">
        <v>79</v>
      </c>
      <c r="E309" s="21" t="s">
        <v>79</v>
      </c>
      <c r="F309" s="40"/>
      <c r="G309" s="4"/>
      <c r="H309" s="4"/>
      <c r="K309" s="41" t="str">
        <f>IFERROR(__xludf.DUMMYFUNCTION("""COMPUTED_VALUE"""),"")</f>
        <v/>
      </c>
      <c r="L309" s="42" t="s">
        <v>79</v>
      </c>
      <c r="M309" s="42" t="s">
        <v>79</v>
      </c>
    </row>
    <row r="310">
      <c r="A310" s="30"/>
      <c r="B310" s="37" t="s">
        <v>79</v>
      </c>
      <c r="E310" s="21" t="s">
        <v>79</v>
      </c>
      <c r="F310" s="40"/>
      <c r="G310" s="4"/>
      <c r="H310" s="4"/>
      <c r="K310" s="41" t="str">
        <f>IFERROR(__xludf.DUMMYFUNCTION("""COMPUTED_VALUE"""),"")</f>
        <v/>
      </c>
      <c r="L310" s="42" t="s">
        <v>79</v>
      </c>
      <c r="M310" s="42" t="s">
        <v>79</v>
      </c>
    </row>
    <row r="311">
      <c r="A311" s="30"/>
      <c r="B311" s="37" t="s">
        <v>79</v>
      </c>
      <c r="E311" s="21" t="s">
        <v>79</v>
      </c>
      <c r="F311" s="40"/>
      <c r="G311" s="4"/>
      <c r="H311" s="4"/>
      <c r="K311" s="41" t="str">
        <f>IFERROR(__xludf.DUMMYFUNCTION("""COMPUTED_VALUE"""),"")</f>
        <v/>
      </c>
      <c r="L311" s="42" t="s">
        <v>79</v>
      </c>
      <c r="M311" s="42" t="s">
        <v>79</v>
      </c>
    </row>
    <row r="312">
      <c r="A312" s="30"/>
      <c r="B312" s="37" t="s">
        <v>79</v>
      </c>
      <c r="E312" s="21" t="s">
        <v>79</v>
      </c>
      <c r="F312" s="40"/>
      <c r="G312" s="4"/>
      <c r="H312" s="4"/>
      <c r="K312" s="41" t="str">
        <f>IFERROR(__xludf.DUMMYFUNCTION("""COMPUTED_VALUE"""),"")</f>
        <v/>
      </c>
      <c r="L312" s="42" t="s">
        <v>79</v>
      </c>
      <c r="M312" s="42" t="s">
        <v>79</v>
      </c>
    </row>
    <row r="313">
      <c r="A313" s="30"/>
      <c r="B313" s="37" t="s">
        <v>79</v>
      </c>
      <c r="E313" s="21" t="s">
        <v>79</v>
      </c>
      <c r="F313" s="40"/>
      <c r="G313" s="4"/>
      <c r="H313" s="4"/>
      <c r="K313" s="41" t="str">
        <f>IFERROR(__xludf.DUMMYFUNCTION("""COMPUTED_VALUE"""),"")</f>
        <v/>
      </c>
      <c r="L313" s="42" t="s">
        <v>79</v>
      </c>
      <c r="M313" s="42" t="s">
        <v>79</v>
      </c>
    </row>
    <row r="314">
      <c r="A314" s="30"/>
      <c r="B314" s="37" t="s">
        <v>79</v>
      </c>
      <c r="E314" s="21" t="s">
        <v>79</v>
      </c>
      <c r="F314" s="40"/>
      <c r="G314" s="4"/>
      <c r="H314" s="4"/>
      <c r="K314" s="41" t="str">
        <f>IFERROR(__xludf.DUMMYFUNCTION("""COMPUTED_VALUE"""),"")</f>
        <v/>
      </c>
      <c r="L314" s="42" t="s">
        <v>79</v>
      </c>
      <c r="M314" s="42" t="s">
        <v>79</v>
      </c>
    </row>
    <row r="315">
      <c r="A315" s="30"/>
      <c r="B315" s="37" t="s">
        <v>79</v>
      </c>
      <c r="E315" s="21" t="s">
        <v>79</v>
      </c>
      <c r="F315" s="40"/>
      <c r="G315" s="4"/>
      <c r="H315" s="4"/>
      <c r="K315" s="41" t="str">
        <f>IFERROR(__xludf.DUMMYFUNCTION("""COMPUTED_VALUE"""),"")</f>
        <v/>
      </c>
      <c r="L315" s="42" t="s">
        <v>79</v>
      </c>
      <c r="M315" s="42" t="s">
        <v>79</v>
      </c>
    </row>
    <row r="316">
      <c r="A316" s="30"/>
      <c r="B316" s="37" t="s">
        <v>79</v>
      </c>
      <c r="E316" s="21" t="s">
        <v>79</v>
      </c>
      <c r="F316" s="40"/>
      <c r="G316" s="4"/>
      <c r="H316" s="4"/>
      <c r="K316" s="41" t="str">
        <f>IFERROR(__xludf.DUMMYFUNCTION("""COMPUTED_VALUE"""),"")</f>
        <v/>
      </c>
      <c r="L316" s="42" t="s">
        <v>79</v>
      </c>
      <c r="M316" s="42" t="s">
        <v>79</v>
      </c>
    </row>
    <row r="317">
      <c r="A317" s="30"/>
      <c r="B317" s="37" t="s">
        <v>79</v>
      </c>
      <c r="E317" s="21" t="s">
        <v>79</v>
      </c>
      <c r="F317" s="40"/>
      <c r="G317" s="4"/>
      <c r="H317" s="4"/>
      <c r="K317" s="41" t="str">
        <f>IFERROR(__xludf.DUMMYFUNCTION("""COMPUTED_VALUE"""),"")</f>
        <v/>
      </c>
      <c r="L317" s="42" t="s">
        <v>79</v>
      </c>
      <c r="M317" s="42" t="s">
        <v>79</v>
      </c>
    </row>
    <row r="318">
      <c r="A318" s="30"/>
      <c r="B318" s="37" t="s">
        <v>79</v>
      </c>
      <c r="E318" s="21" t="s">
        <v>79</v>
      </c>
      <c r="F318" s="40"/>
      <c r="G318" s="4"/>
      <c r="H318" s="4"/>
      <c r="K318" s="41" t="str">
        <f>IFERROR(__xludf.DUMMYFUNCTION("""COMPUTED_VALUE"""),"")</f>
        <v/>
      </c>
      <c r="L318" s="42" t="s">
        <v>79</v>
      </c>
      <c r="M318" s="42" t="s">
        <v>79</v>
      </c>
    </row>
    <row r="319">
      <c r="A319" s="30"/>
      <c r="B319" s="37" t="s">
        <v>79</v>
      </c>
      <c r="E319" s="21" t="s">
        <v>79</v>
      </c>
      <c r="F319" s="40"/>
      <c r="G319" s="4"/>
      <c r="H319" s="4"/>
      <c r="K319" s="41" t="str">
        <f>IFERROR(__xludf.DUMMYFUNCTION("""COMPUTED_VALUE"""),"")</f>
        <v/>
      </c>
      <c r="L319" s="42" t="s">
        <v>79</v>
      </c>
      <c r="M319" s="42" t="s">
        <v>79</v>
      </c>
    </row>
    <row r="320">
      <c r="A320" s="30"/>
      <c r="B320" s="37" t="s">
        <v>79</v>
      </c>
      <c r="E320" s="21" t="s">
        <v>79</v>
      </c>
      <c r="F320" s="40"/>
      <c r="G320" s="4"/>
      <c r="H320" s="4"/>
      <c r="K320" s="41" t="str">
        <f>IFERROR(__xludf.DUMMYFUNCTION("""COMPUTED_VALUE"""),"")</f>
        <v/>
      </c>
      <c r="L320" s="42" t="s">
        <v>79</v>
      </c>
      <c r="M320" s="42" t="s">
        <v>79</v>
      </c>
    </row>
    <row r="321">
      <c r="A321" s="30"/>
      <c r="B321" s="37" t="s">
        <v>79</v>
      </c>
      <c r="E321" s="21" t="s">
        <v>79</v>
      </c>
      <c r="F321" s="40"/>
      <c r="G321" s="4"/>
      <c r="H321" s="4"/>
      <c r="K321" s="41" t="str">
        <f>IFERROR(__xludf.DUMMYFUNCTION("""COMPUTED_VALUE"""),"")</f>
        <v/>
      </c>
      <c r="L321" s="42" t="s">
        <v>79</v>
      </c>
      <c r="M321" s="42" t="s">
        <v>79</v>
      </c>
    </row>
    <row r="322">
      <c r="A322" s="30"/>
      <c r="B322" s="37" t="s">
        <v>79</v>
      </c>
      <c r="E322" s="21" t="s">
        <v>79</v>
      </c>
      <c r="F322" s="40"/>
      <c r="G322" s="4"/>
      <c r="H322" s="4"/>
      <c r="K322" s="41" t="str">
        <f>IFERROR(__xludf.DUMMYFUNCTION("""COMPUTED_VALUE"""),"")</f>
        <v/>
      </c>
      <c r="L322" s="42" t="s">
        <v>79</v>
      </c>
      <c r="M322" s="42" t="s">
        <v>79</v>
      </c>
    </row>
    <row r="323">
      <c r="A323" s="30"/>
      <c r="B323" s="37" t="s">
        <v>79</v>
      </c>
      <c r="E323" s="21" t="s">
        <v>79</v>
      </c>
      <c r="F323" s="40"/>
      <c r="G323" s="4"/>
      <c r="H323" s="4"/>
      <c r="K323" s="41" t="str">
        <f>IFERROR(__xludf.DUMMYFUNCTION("""COMPUTED_VALUE"""),"")</f>
        <v/>
      </c>
      <c r="L323" s="42" t="s">
        <v>79</v>
      </c>
      <c r="M323" s="42" t="s">
        <v>79</v>
      </c>
    </row>
    <row r="324">
      <c r="A324" s="30"/>
      <c r="B324" s="37" t="s">
        <v>79</v>
      </c>
      <c r="E324" s="21" t="s">
        <v>79</v>
      </c>
      <c r="F324" s="40"/>
      <c r="G324" s="4"/>
      <c r="H324" s="4"/>
      <c r="K324" s="41" t="str">
        <f>IFERROR(__xludf.DUMMYFUNCTION("""COMPUTED_VALUE"""),"")</f>
        <v/>
      </c>
      <c r="L324" s="42" t="s">
        <v>79</v>
      </c>
      <c r="M324" s="42" t="s">
        <v>79</v>
      </c>
    </row>
    <row r="325">
      <c r="A325" s="30"/>
      <c r="B325" s="37" t="s">
        <v>79</v>
      </c>
      <c r="E325" s="21" t="s">
        <v>79</v>
      </c>
      <c r="F325" s="40"/>
      <c r="G325" s="4"/>
      <c r="H325" s="4"/>
      <c r="K325" s="41" t="str">
        <f>IFERROR(__xludf.DUMMYFUNCTION("""COMPUTED_VALUE"""),"")</f>
        <v/>
      </c>
      <c r="L325" s="42" t="s">
        <v>79</v>
      </c>
      <c r="M325" s="42" t="s">
        <v>79</v>
      </c>
    </row>
    <row r="326">
      <c r="A326" s="30"/>
      <c r="B326" s="37" t="s">
        <v>79</v>
      </c>
      <c r="E326" s="21" t="s">
        <v>79</v>
      </c>
      <c r="F326" s="40"/>
      <c r="G326" s="4"/>
      <c r="H326" s="4"/>
      <c r="K326" s="41" t="str">
        <f>IFERROR(__xludf.DUMMYFUNCTION("""COMPUTED_VALUE"""),"")</f>
        <v/>
      </c>
      <c r="L326" s="42" t="s">
        <v>79</v>
      </c>
      <c r="M326" s="42" t="s">
        <v>79</v>
      </c>
    </row>
    <row r="327">
      <c r="A327" s="30"/>
      <c r="B327" s="37" t="s">
        <v>79</v>
      </c>
      <c r="E327" s="21" t="s">
        <v>79</v>
      </c>
      <c r="F327" s="40"/>
      <c r="G327" s="4"/>
      <c r="H327" s="4"/>
      <c r="K327" s="41" t="str">
        <f>IFERROR(__xludf.DUMMYFUNCTION("""COMPUTED_VALUE"""),"")</f>
        <v/>
      </c>
      <c r="L327" s="42" t="s">
        <v>79</v>
      </c>
      <c r="M327" s="42" t="s">
        <v>79</v>
      </c>
    </row>
    <row r="328">
      <c r="A328" s="30"/>
      <c r="B328" s="37" t="s">
        <v>79</v>
      </c>
      <c r="E328" s="21" t="s">
        <v>79</v>
      </c>
      <c r="F328" s="40"/>
      <c r="G328" s="4"/>
      <c r="H328" s="4"/>
      <c r="K328" s="41" t="str">
        <f>IFERROR(__xludf.DUMMYFUNCTION("""COMPUTED_VALUE"""),"")</f>
        <v/>
      </c>
      <c r="L328" s="42" t="s">
        <v>79</v>
      </c>
      <c r="M328" s="42" t="s">
        <v>79</v>
      </c>
    </row>
    <row r="329">
      <c r="A329" s="30"/>
      <c r="B329" s="37" t="s">
        <v>79</v>
      </c>
      <c r="E329" s="21" t="s">
        <v>79</v>
      </c>
      <c r="F329" s="40"/>
      <c r="G329" s="4"/>
      <c r="H329" s="4"/>
      <c r="K329" s="41" t="str">
        <f>IFERROR(__xludf.DUMMYFUNCTION("""COMPUTED_VALUE"""),"")</f>
        <v/>
      </c>
      <c r="L329" s="42" t="s">
        <v>79</v>
      </c>
      <c r="M329" s="42" t="s">
        <v>79</v>
      </c>
    </row>
    <row r="330">
      <c r="A330" s="30"/>
      <c r="B330" s="37" t="s">
        <v>79</v>
      </c>
      <c r="E330" s="21" t="s">
        <v>79</v>
      </c>
      <c r="F330" s="40"/>
      <c r="G330" s="4"/>
      <c r="H330" s="4"/>
      <c r="K330" s="41" t="str">
        <f>IFERROR(__xludf.DUMMYFUNCTION("""COMPUTED_VALUE"""),"")</f>
        <v/>
      </c>
      <c r="L330" s="42" t="s">
        <v>79</v>
      </c>
      <c r="M330" s="42" t="s">
        <v>79</v>
      </c>
    </row>
    <row r="331">
      <c r="A331" s="30"/>
      <c r="B331" s="37" t="s">
        <v>79</v>
      </c>
      <c r="E331" s="21" t="s">
        <v>79</v>
      </c>
      <c r="F331" s="40"/>
      <c r="G331" s="4"/>
      <c r="H331" s="4"/>
      <c r="K331" s="41" t="str">
        <f>IFERROR(__xludf.DUMMYFUNCTION("""COMPUTED_VALUE"""),"")</f>
        <v/>
      </c>
      <c r="L331" s="42" t="s">
        <v>79</v>
      </c>
      <c r="M331" s="42" t="s">
        <v>79</v>
      </c>
    </row>
    <row r="332">
      <c r="A332" s="30"/>
      <c r="B332" s="37" t="s">
        <v>79</v>
      </c>
      <c r="E332" s="21" t="s">
        <v>79</v>
      </c>
      <c r="F332" s="40"/>
      <c r="G332" s="4"/>
      <c r="H332" s="4"/>
      <c r="K332" s="41" t="str">
        <f>IFERROR(__xludf.DUMMYFUNCTION("""COMPUTED_VALUE"""),"")</f>
        <v/>
      </c>
      <c r="L332" s="42" t="s">
        <v>79</v>
      </c>
      <c r="M332" s="42" t="s">
        <v>79</v>
      </c>
    </row>
    <row r="333">
      <c r="A333" s="30"/>
      <c r="B333" s="37" t="s">
        <v>79</v>
      </c>
      <c r="E333" s="21" t="s">
        <v>79</v>
      </c>
      <c r="F333" s="40"/>
      <c r="G333" s="4"/>
      <c r="H333" s="4"/>
      <c r="K333" s="41" t="str">
        <f>IFERROR(__xludf.DUMMYFUNCTION("""COMPUTED_VALUE"""),"")</f>
        <v/>
      </c>
      <c r="L333" s="42" t="s">
        <v>79</v>
      </c>
      <c r="M333" s="42" t="s">
        <v>79</v>
      </c>
    </row>
    <row r="334">
      <c r="A334" s="30"/>
      <c r="B334" s="37" t="s">
        <v>79</v>
      </c>
      <c r="E334" s="21" t="s">
        <v>79</v>
      </c>
      <c r="F334" s="40"/>
      <c r="G334" s="4"/>
      <c r="H334" s="4"/>
      <c r="K334" s="41" t="str">
        <f>IFERROR(__xludf.DUMMYFUNCTION("""COMPUTED_VALUE"""),"")</f>
        <v/>
      </c>
      <c r="L334" s="42" t="s">
        <v>79</v>
      </c>
      <c r="M334" s="42" t="s">
        <v>79</v>
      </c>
    </row>
    <row r="335">
      <c r="A335" s="30"/>
      <c r="B335" s="37" t="s">
        <v>79</v>
      </c>
      <c r="E335" s="21" t="s">
        <v>79</v>
      </c>
      <c r="F335" s="40"/>
      <c r="G335" s="4"/>
      <c r="H335" s="4"/>
      <c r="K335" s="41" t="str">
        <f>IFERROR(__xludf.DUMMYFUNCTION("""COMPUTED_VALUE"""),"")</f>
        <v/>
      </c>
      <c r="L335" s="42" t="s">
        <v>79</v>
      </c>
      <c r="M335" s="42" t="s">
        <v>79</v>
      </c>
    </row>
    <row r="336">
      <c r="A336" s="30"/>
      <c r="B336" s="37" t="s">
        <v>79</v>
      </c>
      <c r="E336" s="21" t="s">
        <v>79</v>
      </c>
      <c r="F336" s="40"/>
      <c r="G336" s="4"/>
      <c r="H336" s="4"/>
      <c r="K336" s="41" t="str">
        <f>IFERROR(__xludf.DUMMYFUNCTION("""COMPUTED_VALUE"""),"")</f>
        <v/>
      </c>
      <c r="L336" s="42" t="s">
        <v>79</v>
      </c>
      <c r="M336" s="42" t="s">
        <v>79</v>
      </c>
    </row>
    <row r="337">
      <c r="A337" s="30"/>
      <c r="B337" s="37" t="s">
        <v>79</v>
      </c>
      <c r="E337" s="21" t="s">
        <v>79</v>
      </c>
      <c r="F337" s="40"/>
      <c r="G337" s="4"/>
      <c r="H337" s="4"/>
      <c r="K337" s="41" t="str">
        <f>IFERROR(__xludf.DUMMYFUNCTION("""COMPUTED_VALUE"""),"")</f>
        <v/>
      </c>
      <c r="L337" s="42" t="s">
        <v>79</v>
      </c>
      <c r="M337" s="42" t="s">
        <v>79</v>
      </c>
    </row>
    <row r="338">
      <c r="A338" s="30"/>
      <c r="B338" s="37" t="s">
        <v>79</v>
      </c>
      <c r="E338" s="21" t="s">
        <v>79</v>
      </c>
      <c r="F338" s="40"/>
      <c r="G338" s="4"/>
      <c r="H338" s="4"/>
      <c r="K338" s="41" t="str">
        <f>IFERROR(__xludf.DUMMYFUNCTION("""COMPUTED_VALUE"""),"")</f>
        <v/>
      </c>
      <c r="L338" s="42" t="s">
        <v>79</v>
      </c>
      <c r="M338" s="42" t="s">
        <v>79</v>
      </c>
    </row>
    <row r="339">
      <c r="A339" s="30"/>
      <c r="B339" s="37" t="s">
        <v>79</v>
      </c>
      <c r="E339" s="21" t="s">
        <v>79</v>
      </c>
      <c r="F339" s="40"/>
      <c r="G339" s="4"/>
      <c r="H339" s="4"/>
      <c r="K339" s="41" t="str">
        <f>IFERROR(__xludf.DUMMYFUNCTION("""COMPUTED_VALUE"""),"")</f>
        <v/>
      </c>
      <c r="L339" s="42" t="s">
        <v>79</v>
      </c>
      <c r="M339" s="42" t="s">
        <v>79</v>
      </c>
    </row>
    <row r="340">
      <c r="A340" s="30"/>
      <c r="B340" s="37" t="s">
        <v>79</v>
      </c>
      <c r="E340" s="21" t="s">
        <v>79</v>
      </c>
      <c r="F340" s="40"/>
      <c r="G340" s="4"/>
      <c r="H340" s="4"/>
      <c r="K340" s="41" t="str">
        <f>IFERROR(__xludf.DUMMYFUNCTION("""COMPUTED_VALUE"""),"")</f>
        <v/>
      </c>
      <c r="L340" s="42" t="s">
        <v>79</v>
      </c>
      <c r="M340" s="42" t="s">
        <v>79</v>
      </c>
    </row>
    <row r="341">
      <c r="A341" s="30"/>
      <c r="B341" s="37" t="s">
        <v>79</v>
      </c>
      <c r="E341" s="21" t="s">
        <v>79</v>
      </c>
      <c r="F341" s="40"/>
      <c r="G341" s="4"/>
      <c r="H341" s="4"/>
      <c r="K341" s="41" t="str">
        <f>IFERROR(__xludf.DUMMYFUNCTION("""COMPUTED_VALUE"""),"")</f>
        <v/>
      </c>
      <c r="L341" s="42" t="s">
        <v>79</v>
      </c>
      <c r="M341" s="42" t="s">
        <v>79</v>
      </c>
    </row>
    <row r="342">
      <c r="A342" s="30"/>
      <c r="B342" s="37" t="s">
        <v>79</v>
      </c>
      <c r="E342" s="21" t="s">
        <v>79</v>
      </c>
      <c r="F342" s="40"/>
      <c r="G342" s="4"/>
      <c r="H342" s="4"/>
      <c r="K342" s="41" t="str">
        <f>IFERROR(__xludf.DUMMYFUNCTION("""COMPUTED_VALUE"""),"")</f>
        <v/>
      </c>
      <c r="L342" s="42" t="s">
        <v>79</v>
      </c>
      <c r="M342" s="42" t="s">
        <v>79</v>
      </c>
    </row>
    <row r="343">
      <c r="A343" s="30"/>
      <c r="B343" s="37" t="s">
        <v>79</v>
      </c>
      <c r="E343" s="21" t="s">
        <v>79</v>
      </c>
      <c r="F343" s="40"/>
      <c r="G343" s="4"/>
      <c r="H343" s="4"/>
      <c r="K343" s="41" t="str">
        <f>IFERROR(__xludf.DUMMYFUNCTION("""COMPUTED_VALUE"""),"")</f>
        <v/>
      </c>
      <c r="L343" s="42" t="s">
        <v>79</v>
      </c>
      <c r="M343" s="42" t="s">
        <v>79</v>
      </c>
    </row>
    <row r="344">
      <c r="A344" s="30"/>
      <c r="B344" s="37" t="s">
        <v>79</v>
      </c>
      <c r="E344" s="21" t="s">
        <v>79</v>
      </c>
      <c r="F344" s="40"/>
      <c r="G344" s="4"/>
      <c r="H344" s="4"/>
      <c r="K344" s="41" t="str">
        <f>IFERROR(__xludf.DUMMYFUNCTION("""COMPUTED_VALUE"""),"")</f>
        <v/>
      </c>
      <c r="L344" s="42" t="s">
        <v>79</v>
      </c>
      <c r="M344" s="42" t="s">
        <v>79</v>
      </c>
    </row>
    <row r="345">
      <c r="A345" s="30"/>
      <c r="B345" s="37" t="s">
        <v>79</v>
      </c>
      <c r="E345" s="21" t="s">
        <v>79</v>
      </c>
      <c r="F345" s="40"/>
      <c r="G345" s="4"/>
      <c r="H345" s="4"/>
      <c r="K345" s="41" t="str">
        <f>IFERROR(__xludf.DUMMYFUNCTION("""COMPUTED_VALUE"""),"")</f>
        <v/>
      </c>
      <c r="L345" s="42" t="s">
        <v>79</v>
      </c>
      <c r="M345" s="42" t="s">
        <v>79</v>
      </c>
    </row>
    <row r="346">
      <c r="A346" s="30"/>
      <c r="B346" s="37" t="s">
        <v>79</v>
      </c>
      <c r="E346" s="21" t="s">
        <v>79</v>
      </c>
      <c r="F346" s="40"/>
      <c r="G346" s="4"/>
      <c r="H346" s="4"/>
      <c r="K346" s="41" t="str">
        <f>IFERROR(__xludf.DUMMYFUNCTION("""COMPUTED_VALUE"""),"")</f>
        <v/>
      </c>
      <c r="L346" s="42" t="s">
        <v>79</v>
      </c>
      <c r="M346" s="42" t="s">
        <v>79</v>
      </c>
    </row>
    <row r="347">
      <c r="A347" s="30"/>
      <c r="B347" s="37" t="s">
        <v>79</v>
      </c>
      <c r="E347" s="21" t="s">
        <v>79</v>
      </c>
      <c r="F347" s="40"/>
      <c r="G347" s="4"/>
      <c r="H347" s="4"/>
      <c r="K347" s="41" t="str">
        <f>IFERROR(__xludf.DUMMYFUNCTION("""COMPUTED_VALUE"""),"")</f>
        <v/>
      </c>
      <c r="L347" s="42" t="s">
        <v>79</v>
      </c>
      <c r="M347" s="42" t="s">
        <v>79</v>
      </c>
    </row>
    <row r="348">
      <c r="A348" s="30"/>
      <c r="B348" s="37" t="s">
        <v>79</v>
      </c>
      <c r="E348" s="21" t="s">
        <v>79</v>
      </c>
      <c r="F348" s="40"/>
      <c r="G348" s="4"/>
      <c r="H348" s="4"/>
      <c r="K348" s="41" t="str">
        <f>IFERROR(__xludf.DUMMYFUNCTION("""COMPUTED_VALUE"""),"")</f>
        <v/>
      </c>
      <c r="L348" s="42" t="s">
        <v>79</v>
      </c>
      <c r="M348" s="42" t="s">
        <v>79</v>
      </c>
    </row>
    <row r="349">
      <c r="A349" s="30"/>
      <c r="B349" s="37" t="s">
        <v>79</v>
      </c>
      <c r="E349" s="21" t="s">
        <v>79</v>
      </c>
      <c r="F349" s="40"/>
      <c r="G349" s="4"/>
      <c r="H349" s="4"/>
      <c r="K349" s="41" t="str">
        <f>IFERROR(__xludf.DUMMYFUNCTION("""COMPUTED_VALUE"""),"")</f>
        <v/>
      </c>
      <c r="L349" s="42" t="s">
        <v>79</v>
      </c>
      <c r="M349" s="42" t="s">
        <v>79</v>
      </c>
    </row>
    <row r="350">
      <c r="A350" s="30"/>
      <c r="B350" s="37" t="s">
        <v>79</v>
      </c>
      <c r="E350" s="21" t="s">
        <v>79</v>
      </c>
      <c r="F350" s="40"/>
      <c r="G350" s="4"/>
      <c r="H350" s="4"/>
      <c r="K350" s="41" t="str">
        <f>IFERROR(__xludf.DUMMYFUNCTION("""COMPUTED_VALUE"""),"")</f>
        <v/>
      </c>
      <c r="L350" s="42" t="s">
        <v>79</v>
      </c>
      <c r="M350" s="42" t="s">
        <v>79</v>
      </c>
    </row>
    <row r="351">
      <c r="A351" s="30"/>
      <c r="B351" s="37" t="s">
        <v>79</v>
      </c>
      <c r="E351" s="21" t="s">
        <v>79</v>
      </c>
      <c r="F351" s="40"/>
      <c r="G351" s="4"/>
      <c r="H351" s="4"/>
      <c r="K351" s="41" t="str">
        <f>IFERROR(__xludf.DUMMYFUNCTION("""COMPUTED_VALUE"""),"")</f>
        <v/>
      </c>
      <c r="L351" s="42" t="s">
        <v>79</v>
      </c>
      <c r="M351" s="42" t="s">
        <v>79</v>
      </c>
    </row>
    <row r="352">
      <c r="A352" s="30"/>
      <c r="B352" s="37" t="s">
        <v>79</v>
      </c>
      <c r="E352" s="21" t="s">
        <v>79</v>
      </c>
      <c r="F352" s="40"/>
      <c r="G352" s="4"/>
      <c r="H352" s="4"/>
      <c r="K352" s="41" t="str">
        <f>IFERROR(__xludf.DUMMYFUNCTION("""COMPUTED_VALUE"""),"")</f>
        <v/>
      </c>
      <c r="L352" s="42" t="s">
        <v>79</v>
      </c>
      <c r="M352" s="42" t="s">
        <v>79</v>
      </c>
    </row>
    <row r="353">
      <c r="A353" s="30"/>
      <c r="B353" s="37" t="s">
        <v>79</v>
      </c>
      <c r="E353" s="21" t="s">
        <v>79</v>
      </c>
      <c r="F353" s="40"/>
      <c r="G353" s="4"/>
      <c r="H353" s="4"/>
      <c r="K353" s="41" t="str">
        <f>IFERROR(__xludf.DUMMYFUNCTION("""COMPUTED_VALUE"""),"")</f>
        <v/>
      </c>
      <c r="L353" s="42" t="s">
        <v>79</v>
      </c>
      <c r="M353" s="42" t="s">
        <v>79</v>
      </c>
    </row>
    <row r="354">
      <c r="A354" s="30"/>
      <c r="B354" s="37" t="s">
        <v>79</v>
      </c>
      <c r="E354" s="21" t="s">
        <v>79</v>
      </c>
      <c r="F354" s="40"/>
      <c r="G354" s="4"/>
      <c r="H354" s="4"/>
      <c r="K354" s="41" t="str">
        <f>IFERROR(__xludf.DUMMYFUNCTION("""COMPUTED_VALUE"""),"")</f>
        <v/>
      </c>
      <c r="L354" s="42" t="s">
        <v>79</v>
      </c>
      <c r="M354" s="42" t="s">
        <v>79</v>
      </c>
    </row>
    <row r="355">
      <c r="A355" s="30"/>
      <c r="B355" s="37" t="s">
        <v>79</v>
      </c>
      <c r="E355" s="21" t="s">
        <v>79</v>
      </c>
      <c r="F355" s="40"/>
      <c r="G355" s="4"/>
      <c r="H355" s="4"/>
      <c r="K355" s="41" t="str">
        <f>IFERROR(__xludf.DUMMYFUNCTION("""COMPUTED_VALUE"""),"")</f>
        <v/>
      </c>
      <c r="L355" s="42" t="s">
        <v>79</v>
      </c>
      <c r="M355" s="42" t="s">
        <v>79</v>
      </c>
    </row>
    <row r="356">
      <c r="A356" s="30"/>
      <c r="B356" s="37" t="s">
        <v>79</v>
      </c>
      <c r="E356" s="21" t="s">
        <v>79</v>
      </c>
      <c r="F356" s="40"/>
      <c r="G356" s="4"/>
      <c r="H356" s="4"/>
      <c r="K356" s="41" t="str">
        <f>IFERROR(__xludf.DUMMYFUNCTION("""COMPUTED_VALUE"""),"")</f>
        <v/>
      </c>
      <c r="L356" s="42" t="s">
        <v>79</v>
      </c>
      <c r="M356" s="42" t="s">
        <v>79</v>
      </c>
    </row>
    <row r="357">
      <c r="A357" s="30"/>
      <c r="B357" s="37" t="s">
        <v>79</v>
      </c>
      <c r="E357" s="21" t="s">
        <v>79</v>
      </c>
      <c r="F357" s="40"/>
      <c r="G357" s="4"/>
      <c r="H357" s="4"/>
      <c r="K357" s="41" t="str">
        <f>IFERROR(__xludf.DUMMYFUNCTION("""COMPUTED_VALUE"""),"")</f>
        <v/>
      </c>
      <c r="L357" s="42" t="s">
        <v>79</v>
      </c>
      <c r="M357" s="42" t="s">
        <v>79</v>
      </c>
    </row>
    <row r="358">
      <c r="A358" s="30"/>
      <c r="B358" s="37" t="s">
        <v>79</v>
      </c>
      <c r="E358" s="21" t="s">
        <v>79</v>
      </c>
      <c r="F358" s="40"/>
      <c r="G358" s="4"/>
      <c r="H358" s="4"/>
      <c r="K358" s="41" t="str">
        <f>IFERROR(__xludf.DUMMYFUNCTION("""COMPUTED_VALUE"""),"")</f>
        <v/>
      </c>
      <c r="L358" s="42" t="s">
        <v>79</v>
      </c>
      <c r="M358" s="42" t="s">
        <v>79</v>
      </c>
    </row>
    <row r="359">
      <c r="A359" s="30"/>
      <c r="B359" s="37" t="s">
        <v>79</v>
      </c>
      <c r="E359" s="21" t="s">
        <v>79</v>
      </c>
      <c r="F359" s="40"/>
      <c r="G359" s="4"/>
      <c r="H359" s="4"/>
      <c r="K359" s="41" t="str">
        <f>IFERROR(__xludf.DUMMYFUNCTION("""COMPUTED_VALUE"""),"")</f>
        <v/>
      </c>
      <c r="L359" s="42" t="s">
        <v>79</v>
      </c>
      <c r="M359" s="42" t="s">
        <v>79</v>
      </c>
    </row>
    <row r="360">
      <c r="A360" s="30"/>
      <c r="B360" s="37" t="s">
        <v>79</v>
      </c>
      <c r="E360" s="21" t="s">
        <v>79</v>
      </c>
      <c r="F360" s="40"/>
      <c r="G360" s="4"/>
      <c r="H360" s="4"/>
      <c r="K360" s="41" t="str">
        <f>IFERROR(__xludf.DUMMYFUNCTION("""COMPUTED_VALUE"""),"")</f>
        <v/>
      </c>
      <c r="L360" s="42" t="s">
        <v>79</v>
      </c>
      <c r="M360" s="42" t="s">
        <v>79</v>
      </c>
    </row>
    <row r="361">
      <c r="A361" s="30"/>
      <c r="B361" s="37" t="s">
        <v>79</v>
      </c>
      <c r="E361" s="21" t="s">
        <v>79</v>
      </c>
      <c r="F361" s="40"/>
      <c r="G361" s="4"/>
      <c r="H361" s="4"/>
      <c r="K361" s="41" t="str">
        <f>IFERROR(__xludf.DUMMYFUNCTION("""COMPUTED_VALUE"""),"")</f>
        <v/>
      </c>
      <c r="L361" s="42" t="s">
        <v>79</v>
      </c>
      <c r="M361" s="42" t="s">
        <v>79</v>
      </c>
    </row>
    <row r="362">
      <c r="A362" s="30"/>
      <c r="B362" s="37" t="s">
        <v>79</v>
      </c>
      <c r="E362" s="21" t="s">
        <v>79</v>
      </c>
      <c r="F362" s="40"/>
      <c r="G362" s="4"/>
      <c r="H362" s="4"/>
      <c r="K362" s="41" t="str">
        <f>IFERROR(__xludf.DUMMYFUNCTION("""COMPUTED_VALUE"""),"")</f>
        <v/>
      </c>
      <c r="L362" s="42" t="s">
        <v>79</v>
      </c>
      <c r="M362" s="42" t="s">
        <v>79</v>
      </c>
    </row>
    <row r="363">
      <c r="A363" s="30"/>
      <c r="B363" s="37" t="s">
        <v>79</v>
      </c>
      <c r="E363" s="21" t="s">
        <v>79</v>
      </c>
      <c r="F363" s="40"/>
      <c r="G363" s="4"/>
      <c r="H363" s="4"/>
      <c r="K363" s="41" t="str">
        <f>IFERROR(__xludf.DUMMYFUNCTION("""COMPUTED_VALUE"""),"")</f>
        <v/>
      </c>
      <c r="L363" s="42" t="s">
        <v>79</v>
      </c>
      <c r="M363" s="42" t="s">
        <v>79</v>
      </c>
    </row>
    <row r="364">
      <c r="A364" s="30"/>
      <c r="B364" s="37" t="s">
        <v>79</v>
      </c>
      <c r="E364" s="21" t="s">
        <v>79</v>
      </c>
      <c r="F364" s="40"/>
      <c r="G364" s="4"/>
      <c r="H364" s="4"/>
      <c r="K364" s="41" t="str">
        <f>IFERROR(__xludf.DUMMYFUNCTION("""COMPUTED_VALUE"""),"")</f>
        <v/>
      </c>
      <c r="L364" s="42" t="s">
        <v>79</v>
      </c>
      <c r="M364" s="42" t="s">
        <v>79</v>
      </c>
    </row>
    <row r="365">
      <c r="A365" s="30"/>
      <c r="B365" s="37" t="s">
        <v>79</v>
      </c>
      <c r="E365" s="21" t="s">
        <v>79</v>
      </c>
      <c r="F365" s="40"/>
      <c r="G365" s="4"/>
      <c r="H365" s="4"/>
      <c r="K365" s="41" t="str">
        <f>IFERROR(__xludf.DUMMYFUNCTION("""COMPUTED_VALUE"""),"")</f>
        <v/>
      </c>
      <c r="L365" s="42" t="s">
        <v>79</v>
      </c>
      <c r="M365" s="42" t="s">
        <v>79</v>
      </c>
    </row>
    <row r="366">
      <c r="A366" s="30"/>
      <c r="B366" s="37" t="s">
        <v>79</v>
      </c>
      <c r="E366" s="21" t="s">
        <v>79</v>
      </c>
      <c r="F366" s="40"/>
      <c r="G366" s="4"/>
      <c r="H366" s="4"/>
      <c r="K366" s="41" t="str">
        <f>IFERROR(__xludf.DUMMYFUNCTION("""COMPUTED_VALUE"""),"")</f>
        <v/>
      </c>
      <c r="L366" s="42" t="s">
        <v>79</v>
      </c>
      <c r="M366" s="42" t="s">
        <v>79</v>
      </c>
    </row>
    <row r="367">
      <c r="A367" s="30"/>
      <c r="B367" s="37" t="s">
        <v>79</v>
      </c>
      <c r="E367" s="21" t="s">
        <v>79</v>
      </c>
      <c r="F367" s="40"/>
      <c r="G367" s="4"/>
      <c r="H367" s="4"/>
      <c r="K367" s="41" t="str">
        <f>IFERROR(__xludf.DUMMYFUNCTION("""COMPUTED_VALUE"""),"")</f>
        <v/>
      </c>
      <c r="L367" s="42" t="s">
        <v>79</v>
      </c>
      <c r="M367" s="42" t="s">
        <v>79</v>
      </c>
    </row>
    <row r="368">
      <c r="A368" s="30"/>
      <c r="B368" s="37" t="s">
        <v>79</v>
      </c>
      <c r="E368" s="21" t="s">
        <v>79</v>
      </c>
      <c r="F368" s="40"/>
      <c r="G368" s="4"/>
      <c r="H368" s="4"/>
      <c r="K368" s="41" t="str">
        <f>IFERROR(__xludf.DUMMYFUNCTION("""COMPUTED_VALUE"""),"")</f>
        <v/>
      </c>
      <c r="L368" s="42" t="s">
        <v>79</v>
      </c>
      <c r="M368" s="42" t="s">
        <v>79</v>
      </c>
    </row>
    <row r="369">
      <c r="A369" s="30"/>
      <c r="B369" s="37" t="s">
        <v>79</v>
      </c>
      <c r="E369" s="21" t="s">
        <v>79</v>
      </c>
      <c r="F369" s="40"/>
      <c r="G369" s="4"/>
      <c r="H369" s="4"/>
      <c r="K369" s="41" t="str">
        <f>IFERROR(__xludf.DUMMYFUNCTION("""COMPUTED_VALUE"""),"")</f>
        <v/>
      </c>
      <c r="L369" s="42" t="s">
        <v>79</v>
      </c>
      <c r="M369" s="42" t="s">
        <v>79</v>
      </c>
    </row>
    <row r="370">
      <c r="A370" s="30"/>
      <c r="B370" s="37" t="s">
        <v>79</v>
      </c>
      <c r="E370" s="21" t="s">
        <v>79</v>
      </c>
      <c r="F370" s="40"/>
      <c r="G370" s="4"/>
      <c r="H370" s="4"/>
      <c r="K370" s="41" t="str">
        <f>IFERROR(__xludf.DUMMYFUNCTION("""COMPUTED_VALUE"""),"")</f>
        <v/>
      </c>
      <c r="L370" s="42" t="s">
        <v>79</v>
      </c>
      <c r="M370" s="42" t="s">
        <v>79</v>
      </c>
    </row>
    <row r="371">
      <c r="A371" s="30"/>
      <c r="B371" s="37" t="s">
        <v>79</v>
      </c>
      <c r="E371" s="21" t="s">
        <v>79</v>
      </c>
      <c r="F371" s="40"/>
      <c r="G371" s="4"/>
      <c r="H371" s="4"/>
      <c r="K371" s="41" t="str">
        <f>IFERROR(__xludf.DUMMYFUNCTION("""COMPUTED_VALUE"""),"")</f>
        <v/>
      </c>
      <c r="L371" s="42" t="s">
        <v>79</v>
      </c>
      <c r="M371" s="42" t="s">
        <v>79</v>
      </c>
    </row>
    <row r="372">
      <c r="A372" s="30"/>
      <c r="B372" s="37" t="s">
        <v>79</v>
      </c>
      <c r="E372" s="21" t="s">
        <v>79</v>
      </c>
      <c r="F372" s="40"/>
      <c r="G372" s="4"/>
      <c r="H372" s="4"/>
      <c r="K372" s="41" t="str">
        <f>IFERROR(__xludf.DUMMYFUNCTION("""COMPUTED_VALUE"""),"")</f>
        <v/>
      </c>
      <c r="L372" s="42" t="s">
        <v>79</v>
      </c>
      <c r="M372" s="42" t="s">
        <v>79</v>
      </c>
    </row>
    <row r="373">
      <c r="A373" s="30"/>
      <c r="B373" s="37" t="s">
        <v>79</v>
      </c>
      <c r="E373" s="21" t="s">
        <v>79</v>
      </c>
      <c r="F373" s="40"/>
      <c r="G373" s="4"/>
      <c r="H373" s="4"/>
      <c r="K373" s="41" t="str">
        <f>IFERROR(__xludf.DUMMYFUNCTION("""COMPUTED_VALUE"""),"")</f>
        <v/>
      </c>
      <c r="L373" s="42" t="s">
        <v>79</v>
      </c>
      <c r="M373" s="42" t="s">
        <v>79</v>
      </c>
    </row>
    <row r="374">
      <c r="A374" s="30"/>
      <c r="B374" s="37" t="s">
        <v>79</v>
      </c>
      <c r="E374" s="21" t="s">
        <v>79</v>
      </c>
      <c r="F374" s="40"/>
      <c r="G374" s="4"/>
      <c r="H374" s="4"/>
      <c r="K374" s="41" t="str">
        <f>IFERROR(__xludf.DUMMYFUNCTION("""COMPUTED_VALUE"""),"")</f>
        <v/>
      </c>
      <c r="L374" s="42" t="s">
        <v>79</v>
      </c>
      <c r="M374" s="42" t="s">
        <v>79</v>
      </c>
    </row>
    <row r="375">
      <c r="A375" s="30"/>
      <c r="B375" s="37" t="s">
        <v>79</v>
      </c>
      <c r="E375" s="21" t="s">
        <v>79</v>
      </c>
      <c r="F375" s="40"/>
      <c r="G375" s="4"/>
      <c r="H375" s="4"/>
      <c r="K375" s="41" t="str">
        <f>IFERROR(__xludf.DUMMYFUNCTION("""COMPUTED_VALUE"""),"")</f>
        <v/>
      </c>
      <c r="L375" s="42" t="s">
        <v>79</v>
      </c>
      <c r="M375" s="42" t="s">
        <v>79</v>
      </c>
    </row>
    <row r="376">
      <c r="A376" s="30"/>
      <c r="B376" s="37" t="s">
        <v>79</v>
      </c>
      <c r="E376" s="21" t="s">
        <v>79</v>
      </c>
      <c r="F376" s="40"/>
      <c r="G376" s="4"/>
      <c r="H376" s="4"/>
      <c r="K376" s="41" t="str">
        <f>IFERROR(__xludf.DUMMYFUNCTION("""COMPUTED_VALUE"""),"")</f>
        <v/>
      </c>
      <c r="L376" s="42" t="s">
        <v>79</v>
      </c>
      <c r="M376" s="42" t="s">
        <v>79</v>
      </c>
    </row>
    <row r="377">
      <c r="A377" s="30"/>
      <c r="B377" s="37" t="s">
        <v>79</v>
      </c>
      <c r="E377" s="21" t="s">
        <v>79</v>
      </c>
      <c r="F377" s="40"/>
      <c r="G377" s="4"/>
      <c r="H377" s="4"/>
      <c r="K377" s="41" t="str">
        <f>IFERROR(__xludf.DUMMYFUNCTION("""COMPUTED_VALUE"""),"")</f>
        <v/>
      </c>
      <c r="L377" s="42" t="s">
        <v>79</v>
      </c>
      <c r="M377" s="42" t="s">
        <v>79</v>
      </c>
    </row>
    <row r="378">
      <c r="A378" s="30"/>
      <c r="B378" s="37" t="s">
        <v>79</v>
      </c>
      <c r="E378" s="21" t="s">
        <v>79</v>
      </c>
      <c r="F378" s="40"/>
      <c r="G378" s="4"/>
      <c r="H378" s="4"/>
      <c r="K378" s="41" t="str">
        <f>IFERROR(__xludf.DUMMYFUNCTION("""COMPUTED_VALUE"""),"")</f>
        <v/>
      </c>
      <c r="L378" s="42" t="s">
        <v>79</v>
      </c>
      <c r="M378" s="42" t="s">
        <v>79</v>
      </c>
    </row>
    <row r="379">
      <c r="A379" s="30"/>
      <c r="B379" s="37" t="s">
        <v>79</v>
      </c>
      <c r="E379" s="21" t="s">
        <v>79</v>
      </c>
      <c r="F379" s="40"/>
      <c r="G379" s="4"/>
      <c r="H379" s="4"/>
      <c r="K379" s="41" t="str">
        <f>IFERROR(__xludf.DUMMYFUNCTION("""COMPUTED_VALUE"""),"")</f>
        <v/>
      </c>
      <c r="L379" s="42" t="s">
        <v>79</v>
      </c>
      <c r="M379" s="42" t="s">
        <v>79</v>
      </c>
    </row>
    <row r="380">
      <c r="A380" s="30"/>
      <c r="B380" s="37" t="s">
        <v>79</v>
      </c>
      <c r="E380" s="21" t="s">
        <v>79</v>
      </c>
      <c r="F380" s="40"/>
      <c r="G380" s="4"/>
      <c r="H380" s="4"/>
      <c r="K380" s="41" t="str">
        <f>IFERROR(__xludf.DUMMYFUNCTION("""COMPUTED_VALUE"""),"")</f>
        <v/>
      </c>
      <c r="L380" s="42" t="s">
        <v>79</v>
      </c>
      <c r="M380" s="42" t="s">
        <v>79</v>
      </c>
    </row>
    <row r="381">
      <c r="A381" s="30"/>
      <c r="B381" s="37" t="s">
        <v>79</v>
      </c>
      <c r="E381" s="21" t="s">
        <v>79</v>
      </c>
      <c r="F381" s="40"/>
      <c r="G381" s="4"/>
      <c r="H381" s="4"/>
      <c r="K381" s="41" t="str">
        <f>IFERROR(__xludf.DUMMYFUNCTION("""COMPUTED_VALUE"""),"")</f>
        <v/>
      </c>
      <c r="L381" s="42" t="s">
        <v>79</v>
      </c>
      <c r="M381" s="42" t="s">
        <v>79</v>
      </c>
    </row>
    <row r="382">
      <c r="A382" s="30"/>
      <c r="B382" s="37" t="s">
        <v>79</v>
      </c>
      <c r="E382" s="21" t="s">
        <v>79</v>
      </c>
      <c r="F382" s="40"/>
      <c r="G382" s="4"/>
      <c r="H382" s="4"/>
      <c r="K382" s="41" t="str">
        <f>IFERROR(__xludf.DUMMYFUNCTION("""COMPUTED_VALUE"""),"")</f>
        <v/>
      </c>
      <c r="L382" s="42" t="s">
        <v>79</v>
      </c>
      <c r="M382" s="42" t="s">
        <v>79</v>
      </c>
    </row>
    <row r="383">
      <c r="A383" s="30"/>
      <c r="B383" s="37" t="s">
        <v>79</v>
      </c>
      <c r="E383" s="21" t="s">
        <v>79</v>
      </c>
      <c r="F383" s="40"/>
      <c r="G383" s="4"/>
      <c r="H383" s="4"/>
      <c r="K383" s="41" t="str">
        <f>IFERROR(__xludf.DUMMYFUNCTION("""COMPUTED_VALUE"""),"")</f>
        <v/>
      </c>
      <c r="L383" s="42" t="s">
        <v>79</v>
      </c>
      <c r="M383" s="42" t="s">
        <v>79</v>
      </c>
    </row>
    <row r="384">
      <c r="A384" s="30"/>
      <c r="B384" s="37" t="s">
        <v>79</v>
      </c>
      <c r="E384" s="21" t="s">
        <v>79</v>
      </c>
      <c r="F384" s="40"/>
      <c r="G384" s="4"/>
      <c r="H384" s="4"/>
      <c r="K384" s="41" t="str">
        <f>IFERROR(__xludf.DUMMYFUNCTION("""COMPUTED_VALUE"""),"")</f>
        <v/>
      </c>
      <c r="L384" s="42" t="s">
        <v>79</v>
      </c>
      <c r="M384" s="42" t="s">
        <v>79</v>
      </c>
    </row>
    <row r="385">
      <c r="A385" s="30"/>
      <c r="B385" s="37" t="s">
        <v>79</v>
      </c>
      <c r="E385" s="21" t="s">
        <v>79</v>
      </c>
      <c r="F385" s="40"/>
      <c r="G385" s="4"/>
      <c r="H385" s="4"/>
      <c r="K385" s="41" t="str">
        <f>IFERROR(__xludf.DUMMYFUNCTION("""COMPUTED_VALUE"""),"")</f>
        <v/>
      </c>
      <c r="L385" s="42" t="s">
        <v>79</v>
      </c>
      <c r="M385" s="42" t="s">
        <v>79</v>
      </c>
    </row>
    <row r="386">
      <c r="A386" s="30"/>
      <c r="B386" s="37" t="s">
        <v>79</v>
      </c>
      <c r="E386" s="21" t="s">
        <v>79</v>
      </c>
      <c r="F386" s="40"/>
      <c r="G386" s="4"/>
      <c r="H386" s="4"/>
      <c r="K386" s="41" t="str">
        <f>IFERROR(__xludf.DUMMYFUNCTION("""COMPUTED_VALUE"""),"")</f>
        <v/>
      </c>
      <c r="L386" s="42" t="s">
        <v>79</v>
      </c>
      <c r="M386" s="42" t="s">
        <v>79</v>
      </c>
    </row>
    <row r="387">
      <c r="A387" s="30"/>
      <c r="B387" s="37" t="s">
        <v>79</v>
      </c>
      <c r="E387" s="21" t="s">
        <v>79</v>
      </c>
      <c r="F387" s="40"/>
      <c r="G387" s="4"/>
      <c r="H387" s="4"/>
      <c r="K387" s="41" t="str">
        <f>IFERROR(__xludf.DUMMYFUNCTION("""COMPUTED_VALUE"""),"")</f>
        <v/>
      </c>
      <c r="L387" s="42" t="s">
        <v>79</v>
      </c>
      <c r="M387" s="42" t="s">
        <v>79</v>
      </c>
    </row>
    <row r="388">
      <c r="A388" s="30"/>
      <c r="B388" s="37" t="s">
        <v>79</v>
      </c>
      <c r="E388" s="21" t="s">
        <v>79</v>
      </c>
      <c r="F388" s="40"/>
      <c r="G388" s="4"/>
      <c r="H388" s="4"/>
      <c r="K388" s="41" t="str">
        <f>IFERROR(__xludf.DUMMYFUNCTION("""COMPUTED_VALUE"""),"")</f>
        <v/>
      </c>
      <c r="L388" s="42" t="s">
        <v>79</v>
      </c>
      <c r="M388" s="42" t="s">
        <v>79</v>
      </c>
    </row>
    <row r="389">
      <c r="A389" s="30"/>
      <c r="B389" s="37" t="s">
        <v>79</v>
      </c>
      <c r="E389" s="21" t="s">
        <v>79</v>
      </c>
      <c r="F389" s="40"/>
      <c r="G389" s="4"/>
      <c r="H389" s="4"/>
      <c r="K389" s="41" t="str">
        <f>IFERROR(__xludf.DUMMYFUNCTION("""COMPUTED_VALUE"""),"")</f>
        <v/>
      </c>
      <c r="L389" s="42" t="s">
        <v>79</v>
      </c>
      <c r="M389" s="42" t="s">
        <v>79</v>
      </c>
    </row>
    <row r="390">
      <c r="A390" s="30"/>
      <c r="B390" s="37" t="s">
        <v>79</v>
      </c>
      <c r="E390" s="21" t="s">
        <v>79</v>
      </c>
      <c r="F390" s="40"/>
      <c r="G390" s="4"/>
      <c r="H390" s="4"/>
      <c r="K390" s="41" t="str">
        <f>IFERROR(__xludf.DUMMYFUNCTION("""COMPUTED_VALUE"""),"")</f>
        <v/>
      </c>
      <c r="L390" s="42" t="s">
        <v>79</v>
      </c>
      <c r="M390" s="42" t="s">
        <v>79</v>
      </c>
    </row>
    <row r="391">
      <c r="A391" s="30"/>
      <c r="B391" s="37" t="s">
        <v>79</v>
      </c>
      <c r="E391" s="21" t="s">
        <v>79</v>
      </c>
      <c r="F391" s="40"/>
      <c r="G391" s="4"/>
      <c r="H391" s="4"/>
      <c r="K391" s="41" t="str">
        <f>IFERROR(__xludf.DUMMYFUNCTION("""COMPUTED_VALUE"""),"")</f>
        <v/>
      </c>
      <c r="L391" s="42" t="s">
        <v>79</v>
      </c>
      <c r="M391" s="42" t="s">
        <v>79</v>
      </c>
    </row>
    <row r="392">
      <c r="A392" s="30"/>
      <c r="B392" s="37" t="s">
        <v>79</v>
      </c>
      <c r="E392" s="21" t="s">
        <v>79</v>
      </c>
      <c r="F392" s="40"/>
      <c r="G392" s="4"/>
      <c r="H392" s="4"/>
      <c r="K392" s="41" t="str">
        <f>IFERROR(__xludf.DUMMYFUNCTION("""COMPUTED_VALUE"""),"")</f>
        <v/>
      </c>
      <c r="L392" s="42" t="s">
        <v>79</v>
      </c>
      <c r="M392" s="42" t="s">
        <v>79</v>
      </c>
    </row>
    <row r="393">
      <c r="A393" s="30"/>
      <c r="B393" s="37" t="s">
        <v>79</v>
      </c>
      <c r="E393" s="21" t="s">
        <v>79</v>
      </c>
      <c r="F393" s="40"/>
      <c r="G393" s="4"/>
      <c r="H393" s="4"/>
      <c r="K393" s="41" t="str">
        <f>IFERROR(__xludf.DUMMYFUNCTION("""COMPUTED_VALUE"""),"")</f>
        <v/>
      </c>
      <c r="L393" s="42" t="s">
        <v>79</v>
      </c>
      <c r="M393" s="42" t="s">
        <v>79</v>
      </c>
    </row>
    <row r="394">
      <c r="A394" s="30"/>
      <c r="B394" s="37" t="s">
        <v>79</v>
      </c>
      <c r="E394" s="21" t="s">
        <v>79</v>
      </c>
      <c r="F394" s="40"/>
      <c r="G394" s="4"/>
      <c r="H394" s="4"/>
      <c r="K394" s="41" t="str">
        <f>IFERROR(__xludf.DUMMYFUNCTION("""COMPUTED_VALUE"""),"")</f>
        <v/>
      </c>
      <c r="L394" s="42" t="s">
        <v>79</v>
      </c>
      <c r="M394" s="42" t="s">
        <v>79</v>
      </c>
    </row>
    <row r="395">
      <c r="A395" s="30"/>
      <c r="B395" s="37" t="s">
        <v>79</v>
      </c>
      <c r="E395" s="21" t="s">
        <v>79</v>
      </c>
      <c r="F395" s="40"/>
      <c r="G395" s="4"/>
      <c r="H395" s="4"/>
      <c r="K395" s="41" t="str">
        <f>IFERROR(__xludf.DUMMYFUNCTION("""COMPUTED_VALUE"""),"")</f>
        <v/>
      </c>
      <c r="L395" s="42" t="s">
        <v>79</v>
      </c>
      <c r="M395" s="42" t="s">
        <v>79</v>
      </c>
    </row>
    <row r="396">
      <c r="A396" s="30"/>
      <c r="B396" s="37" t="s">
        <v>79</v>
      </c>
      <c r="E396" s="21" t="s">
        <v>79</v>
      </c>
      <c r="F396" s="40"/>
      <c r="G396" s="4"/>
      <c r="H396" s="4"/>
      <c r="K396" s="41" t="str">
        <f>IFERROR(__xludf.DUMMYFUNCTION("""COMPUTED_VALUE"""),"")</f>
        <v/>
      </c>
      <c r="L396" s="42" t="s">
        <v>79</v>
      </c>
      <c r="M396" s="42" t="s">
        <v>79</v>
      </c>
    </row>
    <row r="397">
      <c r="A397" s="30"/>
      <c r="B397" s="37" t="s">
        <v>79</v>
      </c>
      <c r="E397" s="21" t="s">
        <v>79</v>
      </c>
      <c r="F397" s="40"/>
      <c r="G397" s="4"/>
      <c r="H397" s="4"/>
      <c r="K397" s="41" t="str">
        <f>IFERROR(__xludf.DUMMYFUNCTION("""COMPUTED_VALUE"""),"")</f>
        <v/>
      </c>
      <c r="L397" s="42" t="s">
        <v>79</v>
      </c>
      <c r="M397" s="42" t="s">
        <v>79</v>
      </c>
    </row>
    <row r="398">
      <c r="A398" s="30"/>
      <c r="B398" s="37" t="s">
        <v>79</v>
      </c>
      <c r="E398" s="21" t="s">
        <v>79</v>
      </c>
      <c r="F398" s="40"/>
      <c r="G398" s="4"/>
      <c r="H398" s="4"/>
      <c r="K398" s="41" t="str">
        <f>IFERROR(__xludf.DUMMYFUNCTION("""COMPUTED_VALUE"""),"")</f>
        <v/>
      </c>
      <c r="L398" s="42" t="s">
        <v>79</v>
      </c>
      <c r="M398" s="42" t="s">
        <v>79</v>
      </c>
    </row>
    <row r="399">
      <c r="A399" s="30"/>
      <c r="B399" s="37" t="s">
        <v>79</v>
      </c>
      <c r="E399" s="21" t="s">
        <v>79</v>
      </c>
      <c r="F399" s="40"/>
      <c r="G399" s="4"/>
      <c r="H399" s="4"/>
      <c r="K399" s="41" t="str">
        <f>IFERROR(__xludf.DUMMYFUNCTION("""COMPUTED_VALUE"""),"")</f>
        <v/>
      </c>
      <c r="L399" s="42" t="s">
        <v>79</v>
      </c>
      <c r="M399" s="42" t="s">
        <v>79</v>
      </c>
    </row>
    <row r="400">
      <c r="A400" s="30"/>
      <c r="B400" s="37" t="s">
        <v>79</v>
      </c>
      <c r="E400" s="21" t="s">
        <v>79</v>
      </c>
      <c r="F400" s="40"/>
      <c r="G400" s="4"/>
      <c r="H400" s="4"/>
      <c r="K400" s="41" t="str">
        <f>IFERROR(__xludf.DUMMYFUNCTION("""COMPUTED_VALUE"""),"")</f>
        <v/>
      </c>
      <c r="L400" s="42" t="s">
        <v>79</v>
      </c>
      <c r="M400" s="42" t="s">
        <v>79</v>
      </c>
    </row>
    <row r="401">
      <c r="A401" s="30"/>
      <c r="B401" s="37" t="s">
        <v>79</v>
      </c>
      <c r="E401" s="21" t="s">
        <v>79</v>
      </c>
      <c r="F401" s="40"/>
      <c r="G401" s="4"/>
      <c r="H401" s="4"/>
      <c r="K401" s="41" t="str">
        <f>IFERROR(__xludf.DUMMYFUNCTION("""COMPUTED_VALUE"""),"")</f>
        <v/>
      </c>
      <c r="L401" s="42" t="s">
        <v>79</v>
      </c>
      <c r="M401" s="42" t="s">
        <v>79</v>
      </c>
    </row>
    <row r="402">
      <c r="A402" s="30"/>
      <c r="B402" s="37" t="s">
        <v>79</v>
      </c>
      <c r="E402" s="21" t="s">
        <v>79</v>
      </c>
      <c r="F402" s="40"/>
      <c r="G402" s="4"/>
      <c r="H402" s="4"/>
      <c r="K402" s="41" t="str">
        <f>IFERROR(__xludf.DUMMYFUNCTION("""COMPUTED_VALUE"""),"")</f>
        <v/>
      </c>
      <c r="L402" s="42" t="s">
        <v>79</v>
      </c>
      <c r="M402" s="42" t="s">
        <v>79</v>
      </c>
    </row>
    <row r="403">
      <c r="A403" s="30"/>
      <c r="B403" s="37" t="s">
        <v>79</v>
      </c>
      <c r="E403" s="21" t="s">
        <v>79</v>
      </c>
      <c r="F403" s="40"/>
      <c r="G403" s="4"/>
      <c r="H403" s="4"/>
      <c r="K403" s="41" t="str">
        <f>IFERROR(__xludf.DUMMYFUNCTION("""COMPUTED_VALUE"""),"")</f>
        <v/>
      </c>
      <c r="L403" s="42" t="s">
        <v>79</v>
      </c>
      <c r="M403" s="42" t="s">
        <v>79</v>
      </c>
    </row>
    <row r="404">
      <c r="A404" s="30"/>
      <c r="B404" s="37" t="s">
        <v>79</v>
      </c>
      <c r="E404" s="21" t="s">
        <v>79</v>
      </c>
      <c r="F404" s="40"/>
      <c r="G404" s="4"/>
      <c r="H404" s="4"/>
      <c r="K404" s="41" t="str">
        <f>IFERROR(__xludf.DUMMYFUNCTION("""COMPUTED_VALUE"""),"")</f>
        <v/>
      </c>
      <c r="L404" s="42" t="s">
        <v>79</v>
      </c>
      <c r="M404" s="42" t="s">
        <v>79</v>
      </c>
    </row>
    <row r="405">
      <c r="A405" s="30"/>
      <c r="B405" s="37" t="s">
        <v>79</v>
      </c>
      <c r="E405" s="21" t="s">
        <v>79</v>
      </c>
      <c r="F405" s="40"/>
      <c r="G405" s="4"/>
      <c r="H405" s="4"/>
      <c r="K405" s="41" t="str">
        <f>IFERROR(__xludf.DUMMYFUNCTION("""COMPUTED_VALUE"""),"")</f>
        <v/>
      </c>
      <c r="L405" s="42" t="s">
        <v>79</v>
      </c>
      <c r="M405" s="42" t="s">
        <v>79</v>
      </c>
    </row>
    <row r="406">
      <c r="A406" s="30"/>
      <c r="B406" s="37" t="s">
        <v>79</v>
      </c>
      <c r="E406" s="21" t="s">
        <v>79</v>
      </c>
      <c r="F406" s="40"/>
      <c r="G406" s="4"/>
      <c r="H406" s="4"/>
      <c r="K406" s="41" t="str">
        <f>IFERROR(__xludf.DUMMYFUNCTION("""COMPUTED_VALUE"""),"")</f>
        <v/>
      </c>
      <c r="L406" s="42" t="s">
        <v>79</v>
      </c>
      <c r="M406" s="42" t="s">
        <v>79</v>
      </c>
    </row>
    <row r="407">
      <c r="A407" s="30"/>
      <c r="B407" s="37" t="s">
        <v>79</v>
      </c>
      <c r="E407" s="21" t="s">
        <v>79</v>
      </c>
      <c r="F407" s="40"/>
      <c r="G407" s="4"/>
      <c r="H407" s="4"/>
      <c r="K407" s="41" t="str">
        <f>IFERROR(__xludf.DUMMYFUNCTION("""COMPUTED_VALUE"""),"")</f>
        <v/>
      </c>
      <c r="L407" s="42" t="s">
        <v>79</v>
      </c>
      <c r="M407" s="42" t="s">
        <v>79</v>
      </c>
    </row>
    <row r="408">
      <c r="A408" s="30"/>
      <c r="B408" s="37" t="s">
        <v>79</v>
      </c>
      <c r="E408" s="21" t="s">
        <v>79</v>
      </c>
      <c r="F408" s="40"/>
      <c r="G408" s="4"/>
      <c r="H408" s="4"/>
      <c r="K408" s="41" t="str">
        <f>IFERROR(__xludf.DUMMYFUNCTION("""COMPUTED_VALUE"""),"")</f>
        <v/>
      </c>
      <c r="L408" s="42" t="s">
        <v>79</v>
      </c>
      <c r="M408" s="42" t="s">
        <v>79</v>
      </c>
    </row>
    <row r="409">
      <c r="A409" s="30"/>
      <c r="B409" s="37" t="s">
        <v>79</v>
      </c>
      <c r="E409" s="21" t="s">
        <v>79</v>
      </c>
      <c r="F409" s="40"/>
      <c r="G409" s="4"/>
      <c r="H409" s="4"/>
      <c r="K409" s="41" t="str">
        <f>IFERROR(__xludf.DUMMYFUNCTION("""COMPUTED_VALUE"""),"")</f>
        <v/>
      </c>
      <c r="L409" s="42" t="s">
        <v>79</v>
      </c>
      <c r="M409" s="42" t="s">
        <v>79</v>
      </c>
    </row>
    <row r="410">
      <c r="A410" s="30"/>
      <c r="B410" s="37" t="s">
        <v>79</v>
      </c>
      <c r="E410" s="21" t="s">
        <v>79</v>
      </c>
      <c r="F410" s="40"/>
      <c r="G410" s="4"/>
      <c r="H410" s="4"/>
      <c r="K410" s="41" t="str">
        <f>IFERROR(__xludf.DUMMYFUNCTION("""COMPUTED_VALUE"""),"")</f>
        <v/>
      </c>
      <c r="L410" s="42" t="s">
        <v>79</v>
      </c>
      <c r="M410" s="42" t="s">
        <v>79</v>
      </c>
    </row>
    <row r="411">
      <c r="A411" s="30"/>
      <c r="B411" s="37" t="s">
        <v>79</v>
      </c>
      <c r="E411" s="21" t="s">
        <v>79</v>
      </c>
      <c r="F411" s="40"/>
      <c r="G411" s="4"/>
      <c r="H411" s="4"/>
      <c r="K411" s="41" t="str">
        <f>IFERROR(__xludf.DUMMYFUNCTION("""COMPUTED_VALUE"""),"")</f>
        <v/>
      </c>
      <c r="L411" s="42" t="s">
        <v>79</v>
      </c>
      <c r="M411" s="42" t="s">
        <v>79</v>
      </c>
    </row>
    <row r="412">
      <c r="A412" s="30"/>
      <c r="B412" s="37" t="s">
        <v>79</v>
      </c>
      <c r="E412" s="21" t="s">
        <v>79</v>
      </c>
      <c r="F412" s="40"/>
      <c r="G412" s="4"/>
      <c r="H412" s="4"/>
      <c r="K412" s="41" t="str">
        <f>IFERROR(__xludf.DUMMYFUNCTION("""COMPUTED_VALUE"""),"")</f>
        <v/>
      </c>
      <c r="L412" s="42" t="s">
        <v>79</v>
      </c>
      <c r="M412" s="42" t="s">
        <v>79</v>
      </c>
    </row>
    <row r="413">
      <c r="A413" s="30"/>
      <c r="B413" s="37" t="s">
        <v>79</v>
      </c>
      <c r="E413" s="21" t="s">
        <v>79</v>
      </c>
      <c r="F413" s="40"/>
      <c r="G413" s="4"/>
      <c r="H413" s="4"/>
      <c r="K413" s="41" t="str">
        <f>IFERROR(__xludf.DUMMYFUNCTION("""COMPUTED_VALUE"""),"")</f>
        <v/>
      </c>
      <c r="L413" s="42" t="s">
        <v>79</v>
      </c>
      <c r="M413" s="42" t="s">
        <v>79</v>
      </c>
    </row>
    <row r="414">
      <c r="A414" s="30"/>
      <c r="B414" s="37" t="s">
        <v>79</v>
      </c>
      <c r="E414" s="21" t="s">
        <v>79</v>
      </c>
      <c r="F414" s="40"/>
      <c r="G414" s="4"/>
      <c r="H414" s="4"/>
      <c r="K414" s="41" t="str">
        <f>IFERROR(__xludf.DUMMYFUNCTION("""COMPUTED_VALUE"""),"")</f>
        <v/>
      </c>
      <c r="L414" s="42" t="s">
        <v>79</v>
      </c>
      <c r="M414" s="42" t="s">
        <v>79</v>
      </c>
    </row>
    <row r="415">
      <c r="A415" s="30"/>
      <c r="B415" s="37" t="s">
        <v>79</v>
      </c>
      <c r="E415" s="21" t="s">
        <v>79</v>
      </c>
      <c r="F415" s="40"/>
      <c r="G415" s="4"/>
      <c r="H415" s="4"/>
      <c r="K415" s="41" t="str">
        <f>IFERROR(__xludf.DUMMYFUNCTION("""COMPUTED_VALUE"""),"")</f>
        <v/>
      </c>
      <c r="L415" s="42" t="s">
        <v>79</v>
      </c>
      <c r="M415" s="42" t="s">
        <v>79</v>
      </c>
    </row>
    <row r="416">
      <c r="A416" s="30"/>
      <c r="B416" s="37" t="s">
        <v>79</v>
      </c>
      <c r="E416" s="21" t="s">
        <v>79</v>
      </c>
      <c r="F416" s="40"/>
      <c r="G416" s="4"/>
      <c r="H416" s="4"/>
      <c r="K416" s="41" t="str">
        <f>IFERROR(__xludf.DUMMYFUNCTION("""COMPUTED_VALUE"""),"")</f>
        <v/>
      </c>
      <c r="L416" s="42" t="s">
        <v>79</v>
      </c>
      <c r="M416" s="42" t="s">
        <v>79</v>
      </c>
    </row>
    <row r="417">
      <c r="A417" s="30"/>
      <c r="B417" s="37" t="s">
        <v>79</v>
      </c>
      <c r="E417" s="21" t="s">
        <v>79</v>
      </c>
      <c r="F417" s="40"/>
      <c r="G417" s="4"/>
      <c r="H417" s="4"/>
      <c r="K417" s="41" t="str">
        <f>IFERROR(__xludf.DUMMYFUNCTION("""COMPUTED_VALUE"""),"")</f>
        <v/>
      </c>
      <c r="L417" s="42" t="s">
        <v>79</v>
      </c>
      <c r="M417" s="42" t="s">
        <v>79</v>
      </c>
    </row>
    <row r="418">
      <c r="A418" s="30"/>
      <c r="B418" s="37" t="s">
        <v>79</v>
      </c>
      <c r="E418" s="21" t="s">
        <v>79</v>
      </c>
      <c r="F418" s="40"/>
      <c r="G418" s="4"/>
      <c r="H418" s="4"/>
      <c r="K418" s="41" t="str">
        <f>IFERROR(__xludf.DUMMYFUNCTION("""COMPUTED_VALUE"""),"")</f>
        <v/>
      </c>
      <c r="L418" s="42" t="s">
        <v>79</v>
      </c>
      <c r="M418" s="42" t="s">
        <v>79</v>
      </c>
    </row>
    <row r="419">
      <c r="A419" s="30"/>
      <c r="B419" s="37" t="s">
        <v>79</v>
      </c>
      <c r="E419" s="21" t="s">
        <v>79</v>
      </c>
      <c r="F419" s="40"/>
      <c r="G419" s="4"/>
      <c r="H419" s="4"/>
      <c r="K419" s="41" t="str">
        <f>IFERROR(__xludf.DUMMYFUNCTION("""COMPUTED_VALUE"""),"")</f>
        <v/>
      </c>
      <c r="L419" s="42" t="s">
        <v>79</v>
      </c>
      <c r="M419" s="42" t="s">
        <v>79</v>
      </c>
    </row>
    <row r="420">
      <c r="A420" s="30"/>
      <c r="B420" s="37" t="s">
        <v>79</v>
      </c>
      <c r="E420" s="21" t="s">
        <v>79</v>
      </c>
      <c r="F420" s="40"/>
      <c r="G420" s="4"/>
      <c r="H420" s="4"/>
      <c r="K420" s="41" t="str">
        <f>IFERROR(__xludf.DUMMYFUNCTION("""COMPUTED_VALUE"""),"")</f>
        <v/>
      </c>
      <c r="L420" s="42" t="s">
        <v>79</v>
      </c>
      <c r="M420" s="42" t="s">
        <v>79</v>
      </c>
    </row>
    <row r="421">
      <c r="A421" s="30"/>
      <c r="B421" s="37" t="s">
        <v>79</v>
      </c>
      <c r="E421" s="21" t="s">
        <v>79</v>
      </c>
      <c r="F421" s="40"/>
      <c r="G421" s="4"/>
      <c r="H421" s="4"/>
      <c r="K421" s="41" t="str">
        <f>IFERROR(__xludf.DUMMYFUNCTION("""COMPUTED_VALUE"""),"")</f>
        <v/>
      </c>
      <c r="L421" s="42" t="s">
        <v>79</v>
      </c>
      <c r="M421" s="42" t="s">
        <v>79</v>
      </c>
    </row>
    <row r="422">
      <c r="A422" s="30"/>
      <c r="B422" s="37" t="s">
        <v>79</v>
      </c>
      <c r="E422" s="21" t="s">
        <v>79</v>
      </c>
      <c r="F422" s="40"/>
      <c r="G422" s="4"/>
      <c r="H422" s="4"/>
      <c r="K422" s="41" t="str">
        <f>IFERROR(__xludf.DUMMYFUNCTION("""COMPUTED_VALUE"""),"")</f>
        <v/>
      </c>
      <c r="L422" s="42" t="s">
        <v>79</v>
      </c>
      <c r="M422" s="42" t="s">
        <v>79</v>
      </c>
    </row>
    <row r="423">
      <c r="A423" s="30"/>
      <c r="B423" s="37" t="s">
        <v>79</v>
      </c>
      <c r="E423" s="21" t="s">
        <v>79</v>
      </c>
      <c r="F423" s="40"/>
      <c r="G423" s="4"/>
      <c r="H423" s="4"/>
      <c r="K423" s="41" t="str">
        <f>IFERROR(__xludf.DUMMYFUNCTION("""COMPUTED_VALUE"""),"")</f>
        <v/>
      </c>
      <c r="L423" s="42" t="s">
        <v>79</v>
      </c>
      <c r="M423" s="42" t="s">
        <v>79</v>
      </c>
    </row>
    <row r="424">
      <c r="A424" s="30"/>
      <c r="B424" s="37" t="s">
        <v>79</v>
      </c>
      <c r="E424" s="21" t="s">
        <v>79</v>
      </c>
      <c r="F424" s="40"/>
      <c r="G424" s="4"/>
      <c r="H424" s="4"/>
      <c r="K424" s="41" t="str">
        <f>IFERROR(__xludf.DUMMYFUNCTION("""COMPUTED_VALUE"""),"")</f>
        <v/>
      </c>
      <c r="L424" s="42" t="s">
        <v>79</v>
      </c>
      <c r="M424" s="42" t="s">
        <v>79</v>
      </c>
    </row>
    <row r="425">
      <c r="A425" s="30"/>
      <c r="B425" s="37" t="s">
        <v>79</v>
      </c>
      <c r="E425" s="21" t="s">
        <v>79</v>
      </c>
      <c r="F425" s="40"/>
      <c r="G425" s="4"/>
      <c r="H425" s="4"/>
      <c r="K425" s="41" t="str">
        <f>IFERROR(__xludf.DUMMYFUNCTION("""COMPUTED_VALUE"""),"")</f>
        <v/>
      </c>
      <c r="L425" s="42" t="s">
        <v>79</v>
      </c>
      <c r="M425" s="42" t="s">
        <v>79</v>
      </c>
    </row>
    <row r="426">
      <c r="A426" s="30"/>
      <c r="B426" s="37" t="s">
        <v>79</v>
      </c>
      <c r="E426" s="21" t="s">
        <v>79</v>
      </c>
      <c r="F426" s="40"/>
      <c r="G426" s="4"/>
      <c r="H426" s="4"/>
      <c r="K426" s="41" t="str">
        <f>IFERROR(__xludf.DUMMYFUNCTION("""COMPUTED_VALUE"""),"")</f>
        <v/>
      </c>
      <c r="L426" s="42" t="s">
        <v>79</v>
      </c>
      <c r="M426" s="42" t="s">
        <v>79</v>
      </c>
    </row>
    <row r="427">
      <c r="A427" s="30"/>
      <c r="B427" s="37" t="s">
        <v>79</v>
      </c>
      <c r="E427" s="21" t="s">
        <v>79</v>
      </c>
      <c r="F427" s="40"/>
      <c r="G427" s="4"/>
      <c r="H427" s="4"/>
      <c r="K427" s="41" t="str">
        <f>IFERROR(__xludf.DUMMYFUNCTION("""COMPUTED_VALUE"""),"")</f>
        <v/>
      </c>
      <c r="L427" s="42" t="s">
        <v>79</v>
      </c>
      <c r="M427" s="42" t="s">
        <v>79</v>
      </c>
    </row>
    <row r="428">
      <c r="A428" s="30"/>
      <c r="B428" s="37" t="s">
        <v>79</v>
      </c>
      <c r="E428" s="21" t="s">
        <v>79</v>
      </c>
      <c r="F428" s="40"/>
      <c r="G428" s="4"/>
      <c r="H428" s="4"/>
      <c r="K428" s="41" t="str">
        <f>IFERROR(__xludf.DUMMYFUNCTION("""COMPUTED_VALUE"""),"")</f>
        <v/>
      </c>
      <c r="L428" s="42" t="s">
        <v>79</v>
      </c>
      <c r="M428" s="42" t="s">
        <v>79</v>
      </c>
    </row>
    <row r="429">
      <c r="A429" s="30"/>
      <c r="B429" s="37" t="s">
        <v>79</v>
      </c>
      <c r="E429" s="21" t="s">
        <v>79</v>
      </c>
      <c r="F429" s="40"/>
      <c r="G429" s="4"/>
      <c r="H429" s="4"/>
      <c r="K429" s="41" t="str">
        <f>IFERROR(__xludf.DUMMYFUNCTION("""COMPUTED_VALUE"""),"")</f>
        <v/>
      </c>
      <c r="L429" s="42" t="s">
        <v>79</v>
      </c>
      <c r="M429" s="42" t="s">
        <v>79</v>
      </c>
    </row>
    <row r="430">
      <c r="A430" s="30"/>
      <c r="B430" s="37" t="s">
        <v>79</v>
      </c>
      <c r="E430" s="21" t="s">
        <v>79</v>
      </c>
      <c r="F430" s="40"/>
      <c r="G430" s="4"/>
      <c r="H430" s="4"/>
      <c r="K430" s="41" t="str">
        <f>IFERROR(__xludf.DUMMYFUNCTION("""COMPUTED_VALUE"""),"")</f>
        <v/>
      </c>
      <c r="L430" s="42" t="s">
        <v>79</v>
      </c>
      <c r="M430" s="42" t="s">
        <v>79</v>
      </c>
    </row>
    <row r="431">
      <c r="A431" s="30"/>
      <c r="B431" s="37" t="s">
        <v>79</v>
      </c>
      <c r="E431" s="21" t="s">
        <v>79</v>
      </c>
      <c r="F431" s="40"/>
      <c r="G431" s="4"/>
      <c r="H431" s="4"/>
      <c r="K431" s="41" t="str">
        <f>IFERROR(__xludf.DUMMYFUNCTION("""COMPUTED_VALUE"""),"")</f>
        <v/>
      </c>
      <c r="L431" s="42" t="s">
        <v>79</v>
      </c>
      <c r="M431" s="42" t="s">
        <v>79</v>
      </c>
    </row>
    <row r="432">
      <c r="A432" s="30"/>
      <c r="B432" s="37" t="s">
        <v>79</v>
      </c>
      <c r="E432" s="21" t="s">
        <v>79</v>
      </c>
      <c r="F432" s="40"/>
      <c r="G432" s="4"/>
      <c r="H432" s="4"/>
      <c r="K432" s="41" t="str">
        <f>IFERROR(__xludf.DUMMYFUNCTION("""COMPUTED_VALUE"""),"")</f>
        <v/>
      </c>
      <c r="L432" s="42" t="s">
        <v>79</v>
      </c>
      <c r="M432" s="42" t="s">
        <v>79</v>
      </c>
    </row>
    <row r="433">
      <c r="A433" s="30"/>
      <c r="B433" s="37" t="s">
        <v>79</v>
      </c>
      <c r="E433" s="21" t="s">
        <v>79</v>
      </c>
      <c r="F433" s="40"/>
      <c r="G433" s="4"/>
      <c r="H433" s="4"/>
      <c r="K433" s="41" t="str">
        <f>IFERROR(__xludf.DUMMYFUNCTION("""COMPUTED_VALUE"""),"")</f>
        <v/>
      </c>
      <c r="L433" s="42" t="s">
        <v>79</v>
      </c>
      <c r="M433" s="42" t="s">
        <v>79</v>
      </c>
    </row>
    <row r="434">
      <c r="A434" s="30"/>
      <c r="B434" s="37" t="s">
        <v>79</v>
      </c>
      <c r="E434" s="21" t="s">
        <v>79</v>
      </c>
      <c r="F434" s="40"/>
      <c r="G434" s="4"/>
      <c r="H434" s="4"/>
      <c r="K434" s="41" t="str">
        <f>IFERROR(__xludf.DUMMYFUNCTION("""COMPUTED_VALUE"""),"")</f>
        <v/>
      </c>
      <c r="L434" s="42" t="s">
        <v>79</v>
      </c>
      <c r="M434" s="42" t="s">
        <v>79</v>
      </c>
    </row>
    <row r="435">
      <c r="A435" s="30"/>
      <c r="B435" s="37" t="s">
        <v>79</v>
      </c>
      <c r="E435" s="21" t="s">
        <v>79</v>
      </c>
      <c r="F435" s="40"/>
      <c r="G435" s="4"/>
      <c r="H435" s="4"/>
      <c r="K435" s="41" t="str">
        <f>IFERROR(__xludf.DUMMYFUNCTION("""COMPUTED_VALUE"""),"")</f>
        <v/>
      </c>
      <c r="L435" s="42" t="s">
        <v>79</v>
      </c>
      <c r="M435" s="42" t="s">
        <v>79</v>
      </c>
    </row>
    <row r="436">
      <c r="A436" s="30"/>
      <c r="B436" s="37" t="s">
        <v>79</v>
      </c>
      <c r="E436" s="21" t="s">
        <v>79</v>
      </c>
      <c r="F436" s="40"/>
      <c r="G436" s="4"/>
      <c r="H436" s="4"/>
      <c r="K436" s="41" t="str">
        <f>IFERROR(__xludf.DUMMYFUNCTION("""COMPUTED_VALUE"""),"")</f>
        <v/>
      </c>
      <c r="L436" s="42" t="s">
        <v>79</v>
      </c>
      <c r="M436" s="42" t="s">
        <v>79</v>
      </c>
    </row>
    <row r="437">
      <c r="A437" s="30"/>
      <c r="B437" s="37" t="s">
        <v>79</v>
      </c>
      <c r="E437" s="21" t="s">
        <v>79</v>
      </c>
      <c r="F437" s="40"/>
      <c r="G437" s="4"/>
      <c r="H437" s="4"/>
      <c r="K437" s="41" t="str">
        <f>IFERROR(__xludf.DUMMYFUNCTION("""COMPUTED_VALUE"""),"")</f>
        <v/>
      </c>
      <c r="L437" s="42" t="s">
        <v>79</v>
      </c>
      <c r="M437" s="42" t="s">
        <v>79</v>
      </c>
    </row>
    <row r="438">
      <c r="A438" s="30"/>
      <c r="B438" s="37" t="s">
        <v>79</v>
      </c>
      <c r="E438" s="21" t="s">
        <v>79</v>
      </c>
      <c r="F438" s="40"/>
      <c r="G438" s="4"/>
      <c r="H438" s="4"/>
      <c r="K438" s="41" t="str">
        <f>IFERROR(__xludf.DUMMYFUNCTION("""COMPUTED_VALUE"""),"")</f>
        <v/>
      </c>
      <c r="L438" s="42" t="s">
        <v>79</v>
      </c>
      <c r="M438" s="42" t="s">
        <v>79</v>
      </c>
    </row>
    <row r="439">
      <c r="A439" s="30"/>
      <c r="B439" s="37" t="s">
        <v>79</v>
      </c>
      <c r="E439" s="21" t="s">
        <v>79</v>
      </c>
      <c r="F439" s="40"/>
      <c r="G439" s="4"/>
      <c r="H439" s="4"/>
      <c r="K439" s="41" t="str">
        <f>IFERROR(__xludf.DUMMYFUNCTION("""COMPUTED_VALUE"""),"")</f>
        <v/>
      </c>
      <c r="L439" s="42" t="s">
        <v>79</v>
      </c>
      <c r="M439" s="42" t="s">
        <v>79</v>
      </c>
    </row>
    <row r="440">
      <c r="A440" s="30"/>
      <c r="B440" s="37" t="s">
        <v>79</v>
      </c>
      <c r="E440" s="21" t="s">
        <v>79</v>
      </c>
      <c r="F440" s="40"/>
      <c r="G440" s="4"/>
      <c r="H440" s="4"/>
      <c r="K440" s="41" t="str">
        <f>IFERROR(__xludf.DUMMYFUNCTION("""COMPUTED_VALUE"""),"")</f>
        <v/>
      </c>
      <c r="L440" s="42" t="s">
        <v>79</v>
      </c>
      <c r="M440" s="42" t="s">
        <v>79</v>
      </c>
    </row>
    <row r="441">
      <c r="A441" s="30"/>
      <c r="B441" s="37" t="s">
        <v>79</v>
      </c>
      <c r="E441" s="21" t="s">
        <v>79</v>
      </c>
      <c r="F441" s="40"/>
      <c r="G441" s="4"/>
      <c r="H441" s="4"/>
      <c r="K441" s="41" t="str">
        <f>IFERROR(__xludf.DUMMYFUNCTION("""COMPUTED_VALUE"""),"")</f>
        <v/>
      </c>
      <c r="L441" s="42" t="s">
        <v>79</v>
      </c>
      <c r="M441" s="42" t="s">
        <v>79</v>
      </c>
    </row>
    <row r="442">
      <c r="A442" s="30"/>
      <c r="B442" s="37" t="s">
        <v>79</v>
      </c>
      <c r="E442" s="21" t="s">
        <v>79</v>
      </c>
      <c r="F442" s="40"/>
      <c r="G442" s="4"/>
      <c r="H442" s="4"/>
      <c r="K442" s="41" t="str">
        <f>IFERROR(__xludf.DUMMYFUNCTION("""COMPUTED_VALUE"""),"")</f>
        <v/>
      </c>
      <c r="L442" s="42" t="s">
        <v>79</v>
      </c>
      <c r="M442" s="42" t="s">
        <v>79</v>
      </c>
    </row>
    <row r="443">
      <c r="A443" s="30"/>
      <c r="B443" s="37" t="s">
        <v>79</v>
      </c>
      <c r="E443" s="21" t="s">
        <v>79</v>
      </c>
      <c r="F443" s="40"/>
      <c r="G443" s="4"/>
      <c r="H443" s="4"/>
      <c r="K443" s="41" t="str">
        <f>IFERROR(__xludf.DUMMYFUNCTION("""COMPUTED_VALUE"""),"")</f>
        <v/>
      </c>
      <c r="L443" s="42" t="s">
        <v>79</v>
      </c>
      <c r="M443" s="42" t="s">
        <v>79</v>
      </c>
    </row>
    <row r="444">
      <c r="A444" s="30"/>
      <c r="B444" s="37" t="s">
        <v>79</v>
      </c>
      <c r="E444" s="21" t="s">
        <v>79</v>
      </c>
      <c r="F444" s="40"/>
      <c r="G444" s="4"/>
      <c r="H444" s="4"/>
      <c r="K444" s="41" t="str">
        <f>IFERROR(__xludf.DUMMYFUNCTION("""COMPUTED_VALUE"""),"")</f>
        <v/>
      </c>
      <c r="L444" s="42" t="s">
        <v>79</v>
      </c>
      <c r="M444" s="42" t="s">
        <v>79</v>
      </c>
    </row>
    <row r="445">
      <c r="A445" s="30"/>
      <c r="B445" s="37" t="s">
        <v>79</v>
      </c>
      <c r="E445" s="21" t="s">
        <v>79</v>
      </c>
      <c r="F445" s="40"/>
      <c r="G445" s="4"/>
      <c r="H445" s="4"/>
      <c r="K445" s="41" t="str">
        <f>IFERROR(__xludf.DUMMYFUNCTION("""COMPUTED_VALUE"""),"")</f>
        <v/>
      </c>
      <c r="L445" s="42" t="s">
        <v>79</v>
      </c>
      <c r="M445" s="42" t="s">
        <v>79</v>
      </c>
    </row>
    <row r="446">
      <c r="A446" s="30"/>
      <c r="B446" s="37" t="s">
        <v>79</v>
      </c>
      <c r="E446" s="21" t="s">
        <v>79</v>
      </c>
      <c r="F446" s="40"/>
      <c r="G446" s="4"/>
      <c r="H446" s="4"/>
      <c r="K446" s="41" t="str">
        <f>IFERROR(__xludf.DUMMYFUNCTION("""COMPUTED_VALUE"""),"")</f>
        <v/>
      </c>
      <c r="L446" s="42" t="s">
        <v>79</v>
      </c>
      <c r="M446" s="42" t="s">
        <v>79</v>
      </c>
    </row>
    <row r="447">
      <c r="A447" s="30"/>
      <c r="B447" s="37" t="s">
        <v>79</v>
      </c>
      <c r="E447" s="21" t="s">
        <v>79</v>
      </c>
      <c r="F447" s="40"/>
      <c r="G447" s="4"/>
      <c r="H447" s="4"/>
      <c r="K447" s="41" t="str">
        <f>IFERROR(__xludf.DUMMYFUNCTION("""COMPUTED_VALUE"""),"")</f>
        <v/>
      </c>
      <c r="L447" s="42" t="s">
        <v>79</v>
      </c>
      <c r="M447" s="42" t="s">
        <v>79</v>
      </c>
    </row>
    <row r="448">
      <c r="A448" s="30"/>
      <c r="B448" s="37" t="s">
        <v>79</v>
      </c>
      <c r="E448" s="21" t="s">
        <v>79</v>
      </c>
      <c r="F448" s="40"/>
      <c r="G448" s="4"/>
      <c r="H448" s="4"/>
      <c r="K448" s="41" t="str">
        <f>IFERROR(__xludf.DUMMYFUNCTION("""COMPUTED_VALUE"""),"")</f>
        <v/>
      </c>
      <c r="L448" s="42" t="s">
        <v>79</v>
      </c>
      <c r="M448" s="42" t="s">
        <v>79</v>
      </c>
    </row>
    <row r="449">
      <c r="A449" s="30"/>
      <c r="B449" s="37" t="s">
        <v>79</v>
      </c>
      <c r="E449" s="21" t="s">
        <v>79</v>
      </c>
      <c r="F449" s="40"/>
      <c r="G449" s="4"/>
      <c r="H449" s="4"/>
      <c r="K449" s="41" t="str">
        <f>IFERROR(__xludf.DUMMYFUNCTION("""COMPUTED_VALUE"""),"")</f>
        <v/>
      </c>
      <c r="L449" s="42" t="s">
        <v>79</v>
      </c>
      <c r="M449" s="42" t="s">
        <v>79</v>
      </c>
    </row>
    <row r="450">
      <c r="A450" s="30"/>
      <c r="B450" s="37" t="s">
        <v>79</v>
      </c>
      <c r="E450" s="21" t="s">
        <v>79</v>
      </c>
      <c r="F450" s="40"/>
      <c r="G450" s="4"/>
      <c r="H450" s="4"/>
      <c r="K450" s="41" t="str">
        <f>IFERROR(__xludf.DUMMYFUNCTION("""COMPUTED_VALUE"""),"")</f>
        <v/>
      </c>
      <c r="L450" s="42" t="s">
        <v>79</v>
      </c>
      <c r="M450" s="42" t="s">
        <v>79</v>
      </c>
    </row>
    <row r="451">
      <c r="A451" s="30"/>
      <c r="B451" s="37" t="s">
        <v>79</v>
      </c>
      <c r="E451" s="21" t="s">
        <v>79</v>
      </c>
      <c r="F451" s="40"/>
      <c r="G451" s="4"/>
      <c r="H451" s="4"/>
      <c r="K451" s="41" t="str">
        <f>IFERROR(__xludf.DUMMYFUNCTION("""COMPUTED_VALUE"""),"")</f>
        <v/>
      </c>
      <c r="L451" s="42" t="s">
        <v>79</v>
      </c>
      <c r="M451" s="42" t="s">
        <v>79</v>
      </c>
    </row>
    <row r="452">
      <c r="A452" s="30"/>
      <c r="B452" s="37" t="s">
        <v>79</v>
      </c>
      <c r="E452" s="21" t="s">
        <v>79</v>
      </c>
      <c r="F452" s="40"/>
      <c r="G452" s="4"/>
      <c r="H452" s="4"/>
      <c r="K452" s="41" t="str">
        <f>IFERROR(__xludf.DUMMYFUNCTION("""COMPUTED_VALUE"""),"")</f>
        <v/>
      </c>
      <c r="L452" s="42" t="s">
        <v>79</v>
      </c>
      <c r="M452" s="42" t="s">
        <v>79</v>
      </c>
    </row>
    <row r="453">
      <c r="A453" s="30"/>
      <c r="B453" s="37" t="s">
        <v>79</v>
      </c>
      <c r="E453" s="21" t="s">
        <v>79</v>
      </c>
      <c r="F453" s="40"/>
      <c r="G453" s="4"/>
      <c r="H453" s="4"/>
      <c r="K453" s="41" t="str">
        <f>IFERROR(__xludf.DUMMYFUNCTION("""COMPUTED_VALUE"""),"")</f>
        <v/>
      </c>
      <c r="L453" s="42" t="s">
        <v>79</v>
      </c>
      <c r="M453" s="42" t="s">
        <v>79</v>
      </c>
    </row>
    <row r="454">
      <c r="A454" s="30"/>
      <c r="B454" s="37" t="s">
        <v>79</v>
      </c>
      <c r="E454" s="21" t="s">
        <v>79</v>
      </c>
      <c r="F454" s="40"/>
      <c r="G454" s="4"/>
      <c r="H454" s="4"/>
      <c r="K454" s="41" t="str">
        <f>IFERROR(__xludf.DUMMYFUNCTION("""COMPUTED_VALUE"""),"")</f>
        <v/>
      </c>
      <c r="L454" s="42" t="s">
        <v>79</v>
      </c>
      <c r="M454" s="42" t="s">
        <v>79</v>
      </c>
    </row>
    <row r="455">
      <c r="A455" s="30"/>
      <c r="B455" s="37" t="s">
        <v>79</v>
      </c>
      <c r="E455" s="21" t="s">
        <v>79</v>
      </c>
      <c r="F455" s="40"/>
      <c r="G455" s="4"/>
      <c r="H455" s="4"/>
      <c r="K455" s="41" t="str">
        <f>IFERROR(__xludf.DUMMYFUNCTION("""COMPUTED_VALUE"""),"")</f>
        <v/>
      </c>
      <c r="L455" s="42" t="s">
        <v>79</v>
      </c>
      <c r="M455" s="42" t="s">
        <v>79</v>
      </c>
    </row>
    <row r="456">
      <c r="A456" s="30"/>
      <c r="B456" s="37" t="s">
        <v>79</v>
      </c>
      <c r="E456" s="21" t="s">
        <v>79</v>
      </c>
      <c r="F456" s="40"/>
      <c r="G456" s="4"/>
      <c r="H456" s="4"/>
      <c r="K456" s="41" t="str">
        <f>IFERROR(__xludf.DUMMYFUNCTION("""COMPUTED_VALUE"""),"")</f>
        <v/>
      </c>
      <c r="L456" s="42" t="s">
        <v>79</v>
      </c>
      <c r="M456" s="42" t="s">
        <v>79</v>
      </c>
    </row>
    <row r="457">
      <c r="A457" s="30"/>
      <c r="B457" s="37" t="s">
        <v>79</v>
      </c>
      <c r="E457" s="21" t="s">
        <v>79</v>
      </c>
      <c r="F457" s="40"/>
      <c r="G457" s="4"/>
      <c r="H457" s="4"/>
      <c r="K457" s="41" t="str">
        <f>IFERROR(__xludf.DUMMYFUNCTION("""COMPUTED_VALUE"""),"")</f>
        <v/>
      </c>
      <c r="L457" s="42" t="s">
        <v>79</v>
      </c>
      <c r="M457" s="42" t="s">
        <v>79</v>
      </c>
    </row>
    <row r="458">
      <c r="A458" s="30"/>
      <c r="B458" s="37" t="s">
        <v>79</v>
      </c>
      <c r="E458" s="21" t="s">
        <v>79</v>
      </c>
      <c r="F458" s="40"/>
      <c r="G458" s="4"/>
      <c r="H458" s="4"/>
      <c r="K458" s="41" t="str">
        <f>IFERROR(__xludf.DUMMYFUNCTION("""COMPUTED_VALUE"""),"")</f>
        <v/>
      </c>
      <c r="L458" s="42" t="s">
        <v>79</v>
      </c>
      <c r="M458" s="42" t="s">
        <v>79</v>
      </c>
    </row>
    <row r="459">
      <c r="A459" s="30"/>
      <c r="B459" s="37" t="s">
        <v>79</v>
      </c>
      <c r="E459" s="21" t="s">
        <v>79</v>
      </c>
      <c r="F459" s="40"/>
      <c r="G459" s="4"/>
      <c r="H459" s="4"/>
      <c r="K459" s="41" t="str">
        <f>IFERROR(__xludf.DUMMYFUNCTION("""COMPUTED_VALUE"""),"")</f>
        <v/>
      </c>
      <c r="L459" s="42" t="s">
        <v>79</v>
      </c>
      <c r="M459" s="42" t="s">
        <v>79</v>
      </c>
    </row>
    <row r="460">
      <c r="A460" s="30"/>
      <c r="B460" s="37" t="s">
        <v>79</v>
      </c>
      <c r="E460" s="21" t="s">
        <v>79</v>
      </c>
      <c r="F460" s="40"/>
      <c r="G460" s="4"/>
      <c r="H460" s="4"/>
      <c r="K460" s="41" t="str">
        <f>IFERROR(__xludf.DUMMYFUNCTION("""COMPUTED_VALUE"""),"")</f>
        <v/>
      </c>
      <c r="L460" s="42" t="s">
        <v>79</v>
      </c>
      <c r="M460" s="42" t="s">
        <v>79</v>
      </c>
    </row>
    <row r="461">
      <c r="A461" s="30"/>
      <c r="B461" s="37" t="s">
        <v>79</v>
      </c>
      <c r="E461" s="21" t="s">
        <v>79</v>
      </c>
      <c r="F461" s="40"/>
      <c r="G461" s="4"/>
      <c r="H461" s="4"/>
      <c r="K461" s="41" t="str">
        <f>IFERROR(__xludf.DUMMYFUNCTION("""COMPUTED_VALUE"""),"")</f>
        <v/>
      </c>
      <c r="L461" s="42" t="s">
        <v>79</v>
      </c>
      <c r="M461" s="42" t="s">
        <v>79</v>
      </c>
    </row>
    <row r="462">
      <c r="A462" s="30"/>
      <c r="B462" s="37" t="s">
        <v>79</v>
      </c>
      <c r="E462" s="21" t="s">
        <v>79</v>
      </c>
      <c r="F462" s="40"/>
      <c r="G462" s="4"/>
      <c r="H462" s="4"/>
      <c r="K462" s="41" t="str">
        <f>IFERROR(__xludf.DUMMYFUNCTION("""COMPUTED_VALUE"""),"")</f>
        <v/>
      </c>
      <c r="L462" s="42" t="s">
        <v>79</v>
      </c>
      <c r="M462" s="42" t="s">
        <v>79</v>
      </c>
    </row>
    <row r="463">
      <c r="A463" s="30"/>
      <c r="B463" s="37" t="s">
        <v>79</v>
      </c>
      <c r="E463" s="21" t="s">
        <v>79</v>
      </c>
      <c r="F463" s="40"/>
      <c r="G463" s="4"/>
      <c r="H463" s="4"/>
      <c r="K463" s="41" t="str">
        <f>IFERROR(__xludf.DUMMYFUNCTION("""COMPUTED_VALUE"""),"")</f>
        <v/>
      </c>
      <c r="L463" s="42" t="s">
        <v>79</v>
      </c>
      <c r="M463" s="42" t="s">
        <v>79</v>
      </c>
    </row>
    <row r="464">
      <c r="A464" s="30"/>
      <c r="B464" s="37" t="s">
        <v>79</v>
      </c>
      <c r="E464" s="21" t="s">
        <v>79</v>
      </c>
      <c r="F464" s="40"/>
      <c r="G464" s="4"/>
      <c r="H464" s="4"/>
      <c r="K464" s="41" t="str">
        <f>IFERROR(__xludf.DUMMYFUNCTION("""COMPUTED_VALUE"""),"")</f>
        <v/>
      </c>
      <c r="L464" s="42" t="s">
        <v>79</v>
      </c>
      <c r="M464" s="42" t="s">
        <v>79</v>
      </c>
    </row>
    <row r="465">
      <c r="A465" s="30"/>
      <c r="B465" s="37" t="s">
        <v>79</v>
      </c>
      <c r="E465" s="21" t="s">
        <v>79</v>
      </c>
      <c r="F465" s="40"/>
      <c r="G465" s="4"/>
      <c r="H465" s="4"/>
      <c r="K465" s="41" t="str">
        <f>IFERROR(__xludf.DUMMYFUNCTION("""COMPUTED_VALUE"""),"")</f>
        <v/>
      </c>
      <c r="L465" s="42" t="s">
        <v>79</v>
      </c>
      <c r="M465" s="42" t="s">
        <v>79</v>
      </c>
    </row>
    <row r="466">
      <c r="A466" s="30"/>
      <c r="B466" s="37" t="s">
        <v>79</v>
      </c>
      <c r="E466" s="21" t="s">
        <v>79</v>
      </c>
      <c r="F466" s="40"/>
      <c r="G466" s="4"/>
      <c r="H466" s="4"/>
      <c r="K466" s="41" t="str">
        <f>IFERROR(__xludf.DUMMYFUNCTION("""COMPUTED_VALUE"""),"")</f>
        <v/>
      </c>
      <c r="L466" s="42" t="s">
        <v>79</v>
      </c>
      <c r="M466" s="42" t="s">
        <v>79</v>
      </c>
    </row>
    <row r="467">
      <c r="A467" s="30"/>
      <c r="B467" s="37" t="s">
        <v>79</v>
      </c>
      <c r="E467" s="21" t="s">
        <v>79</v>
      </c>
      <c r="F467" s="40"/>
      <c r="G467" s="4"/>
      <c r="H467" s="4"/>
      <c r="K467" s="41" t="str">
        <f>IFERROR(__xludf.DUMMYFUNCTION("""COMPUTED_VALUE"""),"")</f>
        <v/>
      </c>
      <c r="L467" s="42" t="s">
        <v>79</v>
      </c>
      <c r="M467" s="42" t="s">
        <v>79</v>
      </c>
    </row>
    <row r="468">
      <c r="A468" s="30"/>
      <c r="B468" s="37" t="s">
        <v>79</v>
      </c>
      <c r="E468" s="21" t="s">
        <v>79</v>
      </c>
      <c r="F468" s="40"/>
      <c r="G468" s="4"/>
      <c r="H468" s="4"/>
      <c r="K468" s="41" t="str">
        <f>IFERROR(__xludf.DUMMYFUNCTION("""COMPUTED_VALUE"""),"")</f>
        <v/>
      </c>
      <c r="L468" s="42" t="s">
        <v>79</v>
      </c>
      <c r="M468" s="42" t="s">
        <v>79</v>
      </c>
    </row>
    <row r="469">
      <c r="A469" s="30"/>
      <c r="B469" s="37" t="s">
        <v>79</v>
      </c>
      <c r="E469" s="21" t="s">
        <v>79</v>
      </c>
      <c r="F469" s="40"/>
      <c r="G469" s="4"/>
      <c r="H469" s="4"/>
      <c r="K469" s="41" t="str">
        <f>IFERROR(__xludf.DUMMYFUNCTION("""COMPUTED_VALUE"""),"")</f>
        <v/>
      </c>
      <c r="L469" s="42" t="s">
        <v>79</v>
      </c>
      <c r="M469" s="42" t="s">
        <v>79</v>
      </c>
    </row>
    <row r="470">
      <c r="A470" s="30"/>
      <c r="B470" s="37" t="s">
        <v>79</v>
      </c>
      <c r="E470" s="21" t="s">
        <v>79</v>
      </c>
      <c r="F470" s="40"/>
      <c r="G470" s="4"/>
      <c r="H470" s="4"/>
      <c r="K470" s="41" t="str">
        <f>IFERROR(__xludf.DUMMYFUNCTION("""COMPUTED_VALUE"""),"")</f>
        <v/>
      </c>
      <c r="L470" s="42" t="s">
        <v>79</v>
      </c>
      <c r="M470" s="42" t="s">
        <v>79</v>
      </c>
    </row>
    <row r="471">
      <c r="A471" s="30"/>
      <c r="B471" s="37" t="s">
        <v>79</v>
      </c>
      <c r="E471" s="21" t="s">
        <v>79</v>
      </c>
      <c r="F471" s="40"/>
      <c r="G471" s="4"/>
      <c r="H471" s="4"/>
      <c r="K471" s="41" t="str">
        <f>IFERROR(__xludf.DUMMYFUNCTION("""COMPUTED_VALUE"""),"")</f>
        <v/>
      </c>
      <c r="L471" s="42" t="s">
        <v>79</v>
      </c>
      <c r="M471" s="42" t="s">
        <v>79</v>
      </c>
    </row>
    <row r="472">
      <c r="A472" s="30"/>
      <c r="B472" s="37" t="s">
        <v>79</v>
      </c>
      <c r="E472" s="21" t="s">
        <v>79</v>
      </c>
      <c r="F472" s="40"/>
      <c r="G472" s="4"/>
      <c r="H472" s="4"/>
      <c r="K472" s="41" t="str">
        <f>IFERROR(__xludf.DUMMYFUNCTION("""COMPUTED_VALUE"""),"")</f>
        <v/>
      </c>
      <c r="L472" s="42" t="s">
        <v>79</v>
      </c>
      <c r="M472" s="42" t="s">
        <v>79</v>
      </c>
    </row>
    <row r="473">
      <c r="A473" s="30"/>
      <c r="B473" s="37" t="s">
        <v>79</v>
      </c>
      <c r="E473" s="21" t="s">
        <v>79</v>
      </c>
      <c r="F473" s="40"/>
      <c r="G473" s="4"/>
      <c r="H473" s="4"/>
      <c r="K473" s="41" t="str">
        <f>IFERROR(__xludf.DUMMYFUNCTION("""COMPUTED_VALUE"""),"")</f>
        <v/>
      </c>
      <c r="L473" s="42" t="s">
        <v>79</v>
      </c>
      <c r="M473" s="42" t="s">
        <v>79</v>
      </c>
    </row>
    <row r="474">
      <c r="A474" s="30"/>
      <c r="B474" s="37" t="s">
        <v>79</v>
      </c>
      <c r="E474" s="21" t="s">
        <v>79</v>
      </c>
      <c r="F474" s="40"/>
      <c r="G474" s="4"/>
      <c r="H474" s="4"/>
      <c r="K474" s="41" t="str">
        <f>IFERROR(__xludf.DUMMYFUNCTION("""COMPUTED_VALUE"""),"")</f>
        <v/>
      </c>
      <c r="L474" s="42" t="s">
        <v>79</v>
      </c>
      <c r="M474" s="42" t="s">
        <v>79</v>
      </c>
    </row>
    <row r="475">
      <c r="A475" s="30"/>
      <c r="B475" s="37" t="s">
        <v>79</v>
      </c>
      <c r="E475" s="21" t="s">
        <v>79</v>
      </c>
      <c r="F475" s="40"/>
      <c r="G475" s="4"/>
      <c r="H475" s="4"/>
      <c r="K475" s="41" t="str">
        <f>IFERROR(__xludf.DUMMYFUNCTION("""COMPUTED_VALUE"""),"")</f>
        <v/>
      </c>
      <c r="L475" s="42" t="s">
        <v>79</v>
      </c>
      <c r="M475" s="42" t="s">
        <v>79</v>
      </c>
    </row>
    <row r="476">
      <c r="A476" s="30"/>
      <c r="B476" s="37" t="s">
        <v>79</v>
      </c>
      <c r="E476" s="21" t="s">
        <v>79</v>
      </c>
      <c r="F476" s="40"/>
      <c r="G476" s="4"/>
      <c r="H476" s="4"/>
      <c r="K476" s="41" t="str">
        <f>IFERROR(__xludf.DUMMYFUNCTION("""COMPUTED_VALUE"""),"")</f>
        <v/>
      </c>
      <c r="L476" s="42" t="s">
        <v>79</v>
      </c>
      <c r="M476" s="42" t="s">
        <v>79</v>
      </c>
    </row>
    <row r="477">
      <c r="A477" s="30"/>
      <c r="B477" s="37" t="s">
        <v>79</v>
      </c>
      <c r="E477" s="21" t="s">
        <v>79</v>
      </c>
      <c r="F477" s="40"/>
      <c r="G477" s="4"/>
      <c r="H477" s="4"/>
      <c r="K477" s="41" t="str">
        <f>IFERROR(__xludf.DUMMYFUNCTION("""COMPUTED_VALUE"""),"")</f>
        <v/>
      </c>
      <c r="L477" s="42" t="s">
        <v>79</v>
      </c>
      <c r="M477" s="42" t="s">
        <v>79</v>
      </c>
    </row>
    <row r="478">
      <c r="A478" s="30"/>
      <c r="B478" s="37" t="s">
        <v>79</v>
      </c>
      <c r="E478" s="21" t="s">
        <v>79</v>
      </c>
      <c r="F478" s="40"/>
      <c r="G478" s="4"/>
      <c r="H478" s="4"/>
      <c r="K478" s="41" t="str">
        <f>IFERROR(__xludf.DUMMYFUNCTION("""COMPUTED_VALUE"""),"")</f>
        <v/>
      </c>
      <c r="L478" s="42" t="s">
        <v>79</v>
      </c>
      <c r="M478" s="42" t="s">
        <v>79</v>
      </c>
    </row>
    <row r="479">
      <c r="A479" s="30"/>
      <c r="B479" s="37" t="s">
        <v>79</v>
      </c>
      <c r="E479" s="21" t="s">
        <v>79</v>
      </c>
      <c r="F479" s="40"/>
      <c r="G479" s="4"/>
      <c r="H479" s="4"/>
      <c r="K479" s="41" t="str">
        <f>IFERROR(__xludf.DUMMYFUNCTION("""COMPUTED_VALUE"""),"")</f>
        <v/>
      </c>
      <c r="L479" s="42" t="s">
        <v>79</v>
      </c>
      <c r="M479" s="42" t="s">
        <v>79</v>
      </c>
    </row>
    <row r="480">
      <c r="A480" s="30"/>
      <c r="B480" s="37" t="s">
        <v>79</v>
      </c>
      <c r="E480" s="21" t="s">
        <v>79</v>
      </c>
      <c r="F480" s="40"/>
      <c r="G480" s="4"/>
      <c r="H480" s="4"/>
      <c r="K480" s="41" t="str">
        <f>IFERROR(__xludf.DUMMYFUNCTION("""COMPUTED_VALUE"""),"")</f>
        <v/>
      </c>
      <c r="L480" s="42" t="s">
        <v>79</v>
      </c>
      <c r="M480" s="42" t="s">
        <v>79</v>
      </c>
    </row>
    <row r="481">
      <c r="A481" s="30"/>
      <c r="B481" s="37" t="s">
        <v>79</v>
      </c>
      <c r="E481" s="21" t="s">
        <v>79</v>
      </c>
      <c r="F481" s="40"/>
      <c r="G481" s="4"/>
      <c r="H481" s="4"/>
      <c r="K481" s="41" t="str">
        <f>IFERROR(__xludf.DUMMYFUNCTION("""COMPUTED_VALUE"""),"")</f>
        <v/>
      </c>
      <c r="L481" s="42" t="s">
        <v>79</v>
      </c>
      <c r="M481" s="42" t="s">
        <v>79</v>
      </c>
    </row>
    <row r="482">
      <c r="A482" s="30"/>
      <c r="B482" s="37" t="s">
        <v>79</v>
      </c>
      <c r="E482" s="21" t="s">
        <v>79</v>
      </c>
      <c r="F482" s="40"/>
      <c r="G482" s="4"/>
      <c r="H482" s="4"/>
      <c r="K482" s="41" t="str">
        <f>IFERROR(__xludf.DUMMYFUNCTION("""COMPUTED_VALUE"""),"")</f>
        <v/>
      </c>
      <c r="L482" s="42" t="s">
        <v>79</v>
      </c>
      <c r="M482" s="42" t="s">
        <v>79</v>
      </c>
    </row>
    <row r="483">
      <c r="A483" s="30"/>
      <c r="B483" s="37" t="s">
        <v>79</v>
      </c>
      <c r="E483" s="21" t="s">
        <v>79</v>
      </c>
      <c r="F483" s="40"/>
      <c r="G483" s="4"/>
      <c r="H483" s="4"/>
      <c r="K483" s="41" t="str">
        <f>IFERROR(__xludf.DUMMYFUNCTION("""COMPUTED_VALUE"""),"")</f>
        <v/>
      </c>
      <c r="L483" s="42" t="s">
        <v>79</v>
      </c>
      <c r="M483" s="42" t="s">
        <v>79</v>
      </c>
    </row>
    <row r="484">
      <c r="A484" s="30"/>
      <c r="B484" s="37" t="s">
        <v>79</v>
      </c>
      <c r="E484" s="21" t="s">
        <v>79</v>
      </c>
      <c r="F484" s="40"/>
      <c r="G484" s="4"/>
      <c r="H484" s="4"/>
      <c r="K484" s="41" t="str">
        <f>IFERROR(__xludf.DUMMYFUNCTION("""COMPUTED_VALUE"""),"")</f>
        <v/>
      </c>
      <c r="L484" s="42" t="s">
        <v>79</v>
      </c>
      <c r="M484" s="42" t="s">
        <v>79</v>
      </c>
    </row>
    <row r="485">
      <c r="A485" s="30"/>
      <c r="B485" s="37" t="s">
        <v>79</v>
      </c>
      <c r="E485" s="21" t="s">
        <v>79</v>
      </c>
      <c r="F485" s="40"/>
      <c r="G485" s="4"/>
      <c r="H485" s="4"/>
      <c r="K485" s="41" t="str">
        <f>IFERROR(__xludf.DUMMYFUNCTION("""COMPUTED_VALUE"""),"")</f>
        <v/>
      </c>
      <c r="L485" s="42" t="s">
        <v>79</v>
      </c>
      <c r="M485" s="42" t="s">
        <v>79</v>
      </c>
    </row>
    <row r="486">
      <c r="A486" s="30"/>
      <c r="B486" s="37" t="s">
        <v>79</v>
      </c>
      <c r="E486" s="21" t="s">
        <v>79</v>
      </c>
      <c r="F486" s="40"/>
      <c r="G486" s="4"/>
      <c r="H486" s="4"/>
      <c r="K486" s="41" t="str">
        <f>IFERROR(__xludf.DUMMYFUNCTION("""COMPUTED_VALUE"""),"")</f>
        <v/>
      </c>
      <c r="L486" s="42" t="s">
        <v>79</v>
      </c>
      <c r="M486" s="42" t="s">
        <v>79</v>
      </c>
    </row>
    <row r="487">
      <c r="A487" s="30"/>
      <c r="B487" s="37" t="s">
        <v>79</v>
      </c>
      <c r="E487" s="21" t="s">
        <v>79</v>
      </c>
      <c r="F487" s="40"/>
      <c r="G487" s="4"/>
      <c r="H487" s="4"/>
      <c r="K487" s="41" t="str">
        <f>IFERROR(__xludf.DUMMYFUNCTION("""COMPUTED_VALUE"""),"")</f>
        <v/>
      </c>
      <c r="L487" s="42" t="s">
        <v>79</v>
      </c>
      <c r="M487" s="42" t="s">
        <v>79</v>
      </c>
    </row>
    <row r="488">
      <c r="A488" s="30"/>
      <c r="B488" s="37" t="s">
        <v>79</v>
      </c>
      <c r="E488" s="21" t="s">
        <v>79</v>
      </c>
      <c r="F488" s="40"/>
      <c r="G488" s="4"/>
      <c r="H488" s="4"/>
      <c r="K488" s="41" t="str">
        <f>IFERROR(__xludf.DUMMYFUNCTION("""COMPUTED_VALUE"""),"")</f>
        <v/>
      </c>
      <c r="L488" s="42" t="s">
        <v>79</v>
      </c>
      <c r="M488" s="42" t="s">
        <v>79</v>
      </c>
    </row>
    <row r="489">
      <c r="A489" s="30"/>
      <c r="B489" s="37" t="s">
        <v>79</v>
      </c>
      <c r="E489" s="21" t="s">
        <v>79</v>
      </c>
      <c r="F489" s="40"/>
      <c r="G489" s="4"/>
      <c r="H489" s="4"/>
      <c r="K489" s="41" t="str">
        <f>IFERROR(__xludf.DUMMYFUNCTION("""COMPUTED_VALUE"""),"")</f>
        <v/>
      </c>
      <c r="L489" s="42" t="s">
        <v>79</v>
      </c>
      <c r="M489" s="42" t="s">
        <v>79</v>
      </c>
    </row>
    <row r="490">
      <c r="A490" s="30"/>
      <c r="B490" s="37" t="s">
        <v>79</v>
      </c>
      <c r="E490" s="21" t="s">
        <v>79</v>
      </c>
      <c r="F490" s="40"/>
      <c r="G490" s="4"/>
      <c r="H490" s="4"/>
      <c r="K490" s="41" t="str">
        <f>IFERROR(__xludf.DUMMYFUNCTION("""COMPUTED_VALUE"""),"")</f>
        <v/>
      </c>
      <c r="L490" s="42" t="s">
        <v>79</v>
      </c>
      <c r="M490" s="42" t="s">
        <v>79</v>
      </c>
    </row>
    <row r="491">
      <c r="A491" s="30"/>
      <c r="B491" s="37" t="s">
        <v>79</v>
      </c>
      <c r="E491" s="21" t="s">
        <v>79</v>
      </c>
      <c r="F491" s="40"/>
      <c r="G491" s="4"/>
      <c r="H491" s="4"/>
      <c r="K491" s="41" t="str">
        <f>IFERROR(__xludf.DUMMYFUNCTION("""COMPUTED_VALUE"""),"")</f>
        <v/>
      </c>
      <c r="L491" s="42" t="s">
        <v>79</v>
      </c>
      <c r="M491" s="42" t="s">
        <v>79</v>
      </c>
    </row>
    <row r="492">
      <c r="A492" s="30"/>
      <c r="B492" s="37" t="s">
        <v>79</v>
      </c>
      <c r="E492" s="21" t="s">
        <v>79</v>
      </c>
      <c r="F492" s="40"/>
      <c r="G492" s="4"/>
      <c r="H492" s="4"/>
      <c r="K492" s="41" t="str">
        <f>IFERROR(__xludf.DUMMYFUNCTION("""COMPUTED_VALUE"""),"")</f>
        <v/>
      </c>
      <c r="L492" s="42" t="s">
        <v>79</v>
      </c>
      <c r="M492" s="42" t="s">
        <v>79</v>
      </c>
    </row>
    <row r="493">
      <c r="A493" s="30"/>
      <c r="B493" s="37" t="s">
        <v>79</v>
      </c>
      <c r="E493" s="21" t="s">
        <v>79</v>
      </c>
      <c r="F493" s="40"/>
      <c r="G493" s="4"/>
      <c r="H493" s="4"/>
      <c r="K493" s="41" t="str">
        <f>IFERROR(__xludf.DUMMYFUNCTION("""COMPUTED_VALUE"""),"")</f>
        <v/>
      </c>
      <c r="L493" s="42" t="s">
        <v>79</v>
      </c>
      <c r="M493" s="42" t="s">
        <v>79</v>
      </c>
    </row>
    <row r="494">
      <c r="A494" s="30"/>
      <c r="B494" s="37" t="s">
        <v>79</v>
      </c>
      <c r="E494" s="21" t="s">
        <v>79</v>
      </c>
      <c r="F494" s="40"/>
      <c r="G494" s="4"/>
      <c r="H494" s="4"/>
      <c r="K494" s="41" t="str">
        <f>IFERROR(__xludf.DUMMYFUNCTION("""COMPUTED_VALUE"""),"")</f>
        <v/>
      </c>
      <c r="L494" s="42" t="s">
        <v>79</v>
      </c>
      <c r="M494" s="42" t="s">
        <v>79</v>
      </c>
    </row>
    <row r="495">
      <c r="A495" s="30"/>
      <c r="B495" s="37" t="s">
        <v>79</v>
      </c>
      <c r="E495" s="21" t="s">
        <v>79</v>
      </c>
      <c r="F495" s="40"/>
      <c r="G495" s="4"/>
      <c r="H495" s="4"/>
      <c r="K495" s="41" t="str">
        <f>IFERROR(__xludf.DUMMYFUNCTION("""COMPUTED_VALUE"""),"")</f>
        <v/>
      </c>
      <c r="L495" s="42" t="s">
        <v>79</v>
      </c>
      <c r="M495" s="42" t="s">
        <v>79</v>
      </c>
    </row>
    <row r="496">
      <c r="A496" s="30"/>
      <c r="B496" s="37" t="s">
        <v>79</v>
      </c>
      <c r="E496" s="21" t="s">
        <v>79</v>
      </c>
      <c r="F496" s="40"/>
      <c r="G496" s="4"/>
      <c r="H496" s="4"/>
      <c r="K496" s="41" t="str">
        <f>IFERROR(__xludf.DUMMYFUNCTION("""COMPUTED_VALUE"""),"")</f>
        <v/>
      </c>
      <c r="L496" s="42" t="s">
        <v>79</v>
      </c>
      <c r="M496" s="42" t="s">
        <v>79</v>
      </c>
    </row>
    <row r="497">
      <c r="A497" s="30"/>
      <c r="B497" s="37" t="s">
        <v>79</v>
      </c>
      <c r="E497" s="21" t="s">
        <v>79</v>
      </c>
      <c r="F497" s="40"/>
      <c r="G497" s="4"/>
      <c r="H497" s="4"/>
      <c r="K497" s="41" t="str">
        <f>IFERROR(__xludf.DUMMYFUNCTION("""COMPUTED_VALUE"""),"")</f>
        <v/>
      </c>
      <c r="L497" s="42" t="s">
        <v>79</v>
      </c>
      <c r="M497" s="42" t="s">
        <v>79</v>
      </c>
    </row>
    <row r="498">
      <c r="A498" s="30"/>
      <c r="B498" s="37" t="s">
        <v>79</v>
      </c>
      <c r="E498" s="21" t="s">
        <v>79</v>
      </c>
      <c r="F498" s="40"/>
      <c r="G498" s="4"/>
      <c r="H498" s="4"/>
      <c r="K498" s="41" t="str">
        <f>IFERROR(__xludf.DUMMYFUNCTION("""COMPUTED_VALUE"""),"")</f>
        <v/>
      </c>
      <c r="L498" s="42" t="s">
        <v>79</v>
      </c>
      <c r="M498" s="42" t="s">
        <v>79</v>
      </c>
    </row>
    <row r="499">
      <c r="A499" s="30"/>
      <c r="B499" s="37" t="s">
        <v>79</v>
      </c>
      <c r="E499" s="21" t="s">
        <v>79</v>
      </c>
      <c r="F499" s="40"/>
      <c r="G499" s="4"/>
      <c r="H499" s="4"/>
      <c r="K499" s="41" t="str">
        <f>IFERROR(__xludf.DUMMYFUNCTION("""COMPUTED_VALUE"""),"")</f>
        <v/>
      </c>
      <c r="L499" s="42" t="s">
        <v>79</v>
      </c>
      <c r="M499" s="42" t="s">
        <v>79</v>
      </c>
    </row>
    <row r="500">
      <c r="A500" s="30"/>
      <c r="B500" s="37" t="s">
        <v>79</v>
      </c>
      <c r="E500" s="21" t="s">
        <v>79</v>
      </c>
      <c r="F500" s="40"/>
      <c r="G500" s="4"/>
      <c r="H500" s="4"/>
      <c r="K500" s="41" t="str">
        <f>IFERROR(__xludf.DUMMYFUNCTION("""COMPUTED_VALUE"""),"")</f>
        <v/>
      </c>
      <c r="L500" s="42" t="s">
        <v>79</v>
      </c>
      <c r="M500" s="42" t="s">
        <v>79</v>
      </c>
    </row>
    <row r="501">
      <c r="A501" s="30"/>
      <c r="B501" s="37" t="s">
        <v>79</v>
      </c>
      <c r="E501" s="21" t="s">
        <v>79</v>
      </c>
      <c r="F501" s="40"/>
      <c r="G501" s="4"/>
      <c r="H501" s="4"/>
      <c r="K501" s="41" t="str">
        <f>IFERROR(__xludf.DUMMYFUNCTION("""COMPUTED_VALUE"""),"")</f>
        <v/>
      </c>
      <c r="L501" s="42" t="s">
        <v>79</v>
      </c>
      <c r="M501" s="42" t="s">
        <v>79</v>
      </c>
    </row>
    <row r="502">
      <c r="A502" s="30"/>
      <c r="B502" s="37" t="s">
        <v>79</v>
      </c>
      <c r="E502" s="21" t="s">
        <v>79</v>
      </c>
      <c r="F502" s="40"/>
      <c r="G502" s="4"/>
      <c r="H502" s="4"/>
      <c r="K502" s="41" t="str">
        <f>IFERROR(__xludf.DUMMYFUNCTION("""COMPUTED_VALUE"""),"")</f>
        <v/>
      </c>
      <c r="L502" s="42" t="s">
        <v>79</v>
      </c>
      <c r="M502" s="42" t="s">
        <v>79</v>
      </c>
    </row>
    <row r="503">
      <c r="A503" s="30"/>
      <c r="B503" s="37" t="s">
        <v>79</v>
      </c>
      <c r="E503" s="21" t="s">
        <v>79</v>
      </c>
      <c r="F503" s="40"/>
      <c r="G503" s="4"/>
      <c r="H503" s="4"/>
      <c r="K503" s="41" t="str">
        <f>IFERROR(__xludf.DUMMYFUNCTION("""COMPUTED_VALUE"""),"")</f>
        <v/>
      </c>
      <c r="L503" s="42" t="s">
        <v>79</v>
      </c>
      <c r="M503" s="42" t="s">
        <v>79</v>
      </c>
    </row>
    <row r="504">
      <c r="A504" s="30"/>
      <c r="B504" s="37" t="s">
        <v>79</v>
      </c>
      <c r="E504" s="21" t="s">
        <v>79</v>
      </c>
      <c r="F504" s="40"/>
      <c r="G504" s="4"/>
      <c r="H504" s="4"/>
      <c r="K504" s="41" t="str">
        <f>IFERROR(__xludf.DUMMYFUNCTION("""COMPUTED_VALUE"""),"")</f>
        <v/>
      </c>
      <c r="L504" s="42" t="s">
        <v>79</v>
      </c>
      <c r="M504" s="42" t="s">
        <v>79</v>
      </c>
    </row>
    <row r="505">
      <c r="A505" s="30"/>
      <c r="B505" s="37" t="s">
        <v>79</v>
      </c>
      <c r="E505" s="21" t="s">
        <v>79</v>
      </c>
      <c r="F505" s="40"/>
      <c r="G505" s="4"/>
      <c r="H505" s="4"/>
      <c r="K505" s="41" t="str">
        <f>IFERROR(__xludf.DUMMYFUNCTION("""COMPUTED_VALUE"""),"")</f>
        <v/>
      </c>
      <c r="L505" s="42" t="s">
        <v>79</v>
      </c>
      <c r="M505" s="42" t="s">
        <v>79</v>
      </c>
    </row>
    <row r="506">
      <c r="A506" s="30"/>
      <c r="B506" s="37" t="s">
        <v>79</v>
      </c>
      <c r="E506" s="21" t="s">
        <v>79</v>
      </c>
      <c r="F506" s="40"/>
      <c r="G506" s="4"/>
      <c r="H506" s="4"/>
      <c r="K506" s="41" t="str">
        <f>IFERROR(__xludf.DUMMYFUNCTION("""COMPUTED_VALUE"""),"")</f>
        <v/>
      </c>
      <c r="L506" s="42" t="s">
        <v>79</v>
      </c>
      <c r="M506" s="42" t="s">
        <v>79</v>
      </c>
    </row>
    <row r="507">
      <c r="A507" s="30"/>
      <c r="B507" s="37" t="s">
        <v>79</v>
      </c>
      <c r="E507" s="21" t="s">
        <v>79</v>
      </c>
      <c r="F507" s="40"/>
      <c r="G507" s="4"/>
      <c r="H507" s="4"/>
      <c r="K507" s="41" t="str">
        <f>IFERROR(__xludf.DUMMYFUNCTION("""COMPUTED_VALUE"""),"")</f>
        <v/>
      </c>
      <c r="L507" s="42" t="s">
        <v>79</v>
      </c>
      <c r="M507" s="42" t="s">
        <v>79</v>
      </c>
    </row>
    <row r="508">
      <c r="A508" s="30"/>
      <c r="B508" s="37" t="s">
        <v>79</v>
      </c>
      <c r="E508" s="21" t="s">
        <v>79</v>
      </c>
      <c r="F508" s="40"/>
      <c r="G508" s="4"/>
      <c r="H508" s="4"/>
      <c r="K508" s="41" t="str">
        <f>IFERROR(__xludf.DUMMYFUNCTION("""COMPUTED_VALUE"""),"")</f>
        <v/>
      </c>
      <c r="L508" s="42" t="s">
        <v>79</v>
      </c>
      <c r="M508" s="42" t="s">
        <v>79</v>
      </c>
    </row>
    <row r="509">
      <c r="A509" s="30"/>
      <c r="B509" s="37" t="s">
        <v>79</v>
      </c>
      <c r="E509" s="21" t="s">
        <v>79</v>
      </c>
      <c r="F509" s="40"/>
      <c r="G509" s="4"/>
      <c r="H509" s="4"/>
      <c r="K509" s="41" t="str">
        <f>IFERROR(__xludf.DUMMYFUNCTION("""COMPUTED_VALUE"""),"")</f>
        <v/>
      </c>
      <c r="L509" s="42" t="s">
        <v>79</v>
      </c>
      <c r="M509" s="42" t="s">
        <v>79</v>
      </c>
    </row>
    <row r="510">
      <c r="A510" s="30"/>
      <c r="B510" s="37" t="s">
        <v>79</v>
      </c>
      <c r="E510" s="21" t="s">
        <v>79</v>
      </c>
      <c r="F510" s="40"/>
      <c r="G510" s="4"/>
      <c r="H510" s="4"/>
      <c r="K510" s="41" t="str">
        <f>IFERROR(__xludf.DUMMYFUNCTION("""COMPUTED_VALUE"""),"")</f>
        <v/>
      </c>
      <c r="L510" s="42" t="s">
        <v>79</v>
      </c>
      <c r="M510" s="42" t="s">
        <v>79</v>
      </c>
    </row>
    <row r="511">
      <c r="A511" s="30"/>
      <c r="B511" s="37" t="s">
        <v>79</v>
      </c>
      <c r="E511" s="21" t="s">
        <v>79</v>
      </c>
      <c r="F511" s="40"/>
      <c r="G511" s="4"/>
      <c r="H511" s="4"/>
      <c r="K511" s="41" t="str">
        <f>IFERROR(__xludf.DUMMYFUNCTION("""COMPUTED_VALUE"""),"")</f>
        <v/>
      </c>
      <c r="L511" s="42" t="s">
        <v>79</v>
      </c>
      <c r="M511" s="42" t="s">
        <v>79</v>
      </c>
    </row>
    <row r="512">
      <c r="A512" s="30"/>
      <c r="B512" s="37" t="s">
        <v>79</v>
      </c>
      <c r="E512" s="21" t="s">
        <v>79</v>
      </c>
      <c r="F512" s="40"/>
      <c r="G512" s="4"/>
      <c r="H512" s="4"/>
      <c r="K512" s="41" t="str">
        <f>IFERROR(__xludf.DUMMYFUNCTION("""COMPUTED_VALUE"""),"")</f>
        <v/>
      </c>
      <c r="L512" s="42" t="s">
        <v>79</v>
      </c>
      <c r="M512" s="42" t="s">
        <v>79</v>
      </c>
    </row>
    <row r="513">
      <c r="A513" s="30"/>
      <c r="B513" s="37" t="s">
        <v>79</v>
      </c>
      <c r="E513" s="21" t="s">
        <v>79</v>
      </c>
      <c r="F513" s="40"/>
      <c r="G513" s="4"/>
      <c r="H513" s="4"/>
      <c r="K513" s="41" t="str">
        <f>IFERROR(__xludf.DUMMYFUNCTION("""COMPUTED_VALUE"""),"")</f>
        <v/>
      </c>
      <c r="L513" s="42" t="s">
        <v>79</v>
      </c>
      <c r="M513" s="42" t="s">
        <v>79</v>
      </c>
    </row>
    <row r="514">
      <c r="A514" s="30"/>
      <c r="B514" s="37" t="s">
        <v>79</v>
      </c>
      <c r="E514" s="21" t="s">
        <v>79</v>
      </c>
      <c r="F514" s="40"/>
      <c r="G514" s="4"/>
      <c r="H514" s="4"/>
      <c r="K514" s="41" t="str">
        <f>IFERROR(__xludf.DUMMYFUNCTION("""COMPUTED_VALUE"""),"")</f>
        <v/>
      </c>
      <c r="L514" s="42" t="s">
        <v>79</v>
      </c>
      <c r="M514" s="42" t="s">
        <v>79</v>
      </c>
    </row>
    <row r="515">
      <c r="A515" s="30"/>
      <c r="B515" s="37" t="s">
        <v>79</v>
      </c>
      <c r="E515" s="21" t="s">
        <v>79</v>
      </c>
      <c r="F515" s="40"/>
      <c r="G515" s="4"/>
      <c r="H515" s="4"/>
      <c r="K515" s="41" t="str">
        <f>IFERROR(__xludf.DUMMYFUNCTION("""COMPUTED_VALUE"""),"")</f>
        <v/>
      </c>
      <c r="L515" s="42" t="s">
        <v>79</v>
      </c>
      <c r="M515" s="42" t="s">
        <v>79</v>
      </c>
    </row>
    <row r="516">
      <c r="A516" s="30"/>
      <c r="B516" s="37" t="s">
        <v>79</v>
      </c>
      <c r="E516" s="21" t="s">
        <v>79</v>
      </c>
      <c r="F516" s="40"/>
      <c r="G516" s="4"/>
      <c r="H516" s="4"/>
      <c r="K516" s="41" t="str">
        <f>IFERROR(__xludf.DUMMYFUNCTION("""COMPUTED_VALUE"""),"")</f>
        <v/>
      </c>
      <c r="L516" s="42" t="s">
        <v>79</v>
      </c>
      <c r="M516" s="42" t="s">
        <v>79</v>
      </c>
    </row>
    <row r="517">
      <c r="A517" s="30"/>
      <c r="B517" s="37" t="s">
        <v>79</v>
      </c>
      <c r="E517" s="21" t="s">
        <v>79</v>
      </c>
      <c r="F517" s="40"/>
      <c r="G517" s="4"/>
      <c r="H517" s="4"/>
      <c r="K517" s="41" t="str">
        <f>IFERROR(__xludf.DUMMYFUNCTION("""COMPUTED_VALUE"""),"")</f>
        <v/>
      </c>
      <c r="L517" s="42" t="s">
        <v>79</v>
      </c>
      <c r="M517" s="42" t="s">
        <v>79</v>
      </c>
    </row>
    <row r="518">
      <c r="A518" s="30"/>
      <c r="B518" s="37" t="s">
        <v>79</v>
      </c>
      <c r="E518" s="21" t="s">
        <v>79</v>
      </c>
      <c r="F518" s="40"/>
      <c r="G518" s="4"/>
      <c r="H518" s="4"/>
      <c r="K518" s="41" t="str">
        <f>IFERROR(__xludf.DUMMYFUNCTION("""COMPUTED_VALUE"""),"")</f>
        <v/>
      </c>
      <c r="L518" s="42" t="s">
        <v>79</v>
      </c>
      <c r="M518" s="42" t="s">
        <v>79</v>
      </c>
    </row>
    <row r="519">
      <c r="A519" s="30"/>
      <c r="B519" s="37" t="s">
        <v>79</v>
      </c>
      <c r="E519" s="21" t="s">
        <v>79</v>
      </c>
      <c r="F519" s="40"/>
      <c r="G519" s="4"/>
      <c r="H519" s="4"/>
      <c r="K519" s="41" t="str">
        <f>IFERROR(__xludf.DUMMYFUNCTION("""COMPUTED_VALUE"""),"")</f>
        <v/>
      </c>
      <c r="L519" s="42" t="s">
        <v>79</v>
      </c>
      <c r="M519" s="42" t="s">
        <v>79</v>
      </c>
    </row>
    <row r="520">
      <c r="A520" s="30"/>
      <c r="B520" s="37" t="s">
        <v>79</v>
      </c>
      <c r="E520" s="21" t="s">
        <v>79</v>
      </c>
      <c r="F520" s="40"/>
      <c r="G520" s="4"/>
      <c r="H520" s="4"/>
      <c r="K520" s="41" t="str">
        <f>IFERROR(__xludf.DUMMYFUNCTION("""COMPUTED_VALUE"""),"")</f>
        <v/>
      </c>
      <c r="L520" s="42" t="s">
        <v>79</v>
      </c>
      <c r="M520" s="42" t="s">
        <v>79</v>
      </c>
    </row>
    <row r="521">
      <c r="A521" s="30"/>
      <c r="B521" s="37" t="s">
        <v>79</v>
      </c>
      <c r="E521" s="21" t="s">
        <v>79</v>
      </c>
      <c r="F521" s="40"/>
      <c r="G521" s="4"/>
      <c r="H521" s="4"/>
      <c r="K521" s="41" t="str">
        <f>IFERROR(__xludf.DUMMYFUNCTION("""COMPUTED_VALUE"""),"")</f>
        <v/>
      </c>
      <c r="L521" s="42" t="s">
        <v>79</v>
      </c>
      <c r="M521" s="42" t="s">
        <v>79</v>
      </c>
    </row>
    <row r="522">
      <c r="A522" s="30"/>
      <c r="B522" s="37" t="s">
        <v>79</v>
      </c>
      <c r="E522" s="21" t="s">
        <v>79</v>
      </c>
      <c r="F522" s="40"/>
      <c r="G522" s="4"/>
      <c r="H522" s="4"/>
      <c r="K522" s="41" t="str">
        <f>IFERROR(__xludf.DUMMYFUNCTION("""COMPUTED_VALUE"""),"")</f>
        <v/>
      </c>
      <c r="L522" s="42" t="s">
        <v>79</v>
      </c>
      <c r="M522" s="42" t="s">
        <v>79</v>
      </c>
    </row>
    <row r="523">
      <c r="A523" s="30"/>
      <c r="B523" s="37" t="s">
        <v>79</v>
      </c>
      <c r="E523" s="21" t="s">
        <v>79</v>
      </c>
      <c r="F523" s="40"/>
      <c r="G523" s="4"/>
      <c r="H523" s="4"/>
      <c r="K523" s="41" t="str">
        <f>IFERROR(__xludf.DUMMYFUNCTION("""COMPUTED_VALUE"""),"")</f>
        <v/>
      </c>
      <c r="L523" s="42" t="s">
        <v>79</v>
      </c>
      <c r="M523" s="42" t="s">
        <v>79</v>
      </c>
    </row>
    <row r="524">
      <c r="A524" s="30"/>
      <c r="B524" s="37" t="s">
        <v>79</v>
      </c>
      <c r="E524" s="21" t="s">
        <v>79</v>
      </c>
      <c r="F524" s="40"/>
      <c r="G524" s="4"/>
      <c r="H524" s="4"/>
      <c r="K524" s="41" t="str">
        <f>IFERROR(__xludf.DUMMYFUNCTION("""COMPUTED_VALUE"""),"")</f>
        <v/>
      </c>
      <c r="L524" s="42" t="s">
        <v>79</v>
      </c>
      <c r="M524" s="42" t="s">
        <v>79</v>
      </c>
    </row>
    <row r="525">
      <c r="A525" s="30"/>
      <c r="B525" s="37" t="s">
        <v>79</v>
      </c>
      <c r="E525" s="21" t="s">
        <v>79</v>
      </c>
      <c r="F525" s="40"/>
      <c r="G525" s="4"/>
      <c r="H525" s="4"/>
      <c r="K525" s="41" t="str">
        <f>IFERROR(__xludf.DUMMYFUNCTION("""COMPUTED_VALUE"""),"")</f>
        <v/>
      </c>
      <c r="L525" s="42" t="s">
        <v>79</v>
      </c>
      <c r="M525" s="42" t="s">
        <v>79</v>
      </c>
    </row>
    <row r="526">
      <c r="A526" s="30"/>
      <c r="B526" s="37" t="s">
        <v>79</v>
      </c>
      <c r="E526" s="21" t="s">
        <v>79</v>
      </c>
      <c r="F526" s="40"/>
      <c r="G526" s="4"/>
      <c r="H526" s="4"/>
      <c r="K526" s="41" t="str">
        <f>IFERROR(__xludf.DUMMYFUNCTION("""COMPUTED_VALUE"""),"")</f>
        <v/>
      </c>
      <c r="L526" s="42" t="s">
        <v>79</v>
      </c>
      <c r="M526" s="42" t="s">
        <v>79</v>
      </c>
    </row>
    <row r="527">
      <c r="A527" s="30"/>
      <c r="B527" s="37" t="s">
        <v>79</v>
      </c>
      <c r="E527" s="21" t="s">
        <v>79</v>
      </c>
      <c r="F527" s="40"/>
      <c r="G527" s="4"/>
      <c r="H527" s="4"/>
      <c r="K527" s="41" t="str">
        <f>IFERROR(__xludf.DUMMYFUNCTION("""COMPUTED_VALUE"""),"")</f>
        <v/>
      </c>
      <c r="L527" s="42" t="s">
        <v>79</v>
      </c>
      <c r="M527" s="42" t="s">
        <v>79</v>
      </c>
    </row>
    <row r="528">
      <c r="A528" s="30"/>
      <c r="B528" s="37" t="s">
        <v>79</v>
      </c>
      <c r="E528" s="21" t="s">
        <v>79</v>
      </c>
      <c r="F528" s="40"/>
      <c r="G528" s="4"/>
      <c r="H528" s="4"/>
      <c r="K528" s="41" t="str">
        <f>IFERROR(__xludf.DUMMYFUNCTION("""COMPUTED_VALUE"""),"")</f>
        <v/>
      </c>
      <c r="L528" s="42" t="s">
        <v>79</v>
      </c>
      <c r="M528" s="42" t="s">
        <v>79</v>
      </c>
    </row>
    <row r="529">
      <c r="A529" s="30"/>
      <c r="B529" s="37" t="s">
        <v>79</v>
      </c>
      <c r="E529" s="21" t="s">
        <v>79</v>
      </c>
      <c r="F529" s="40"/>
      <c r="G529" s="4"/>
      <c r="H529" s="4"/>
      <c r="K529" s="41" t="str">
        <f>IFERROR(__xludf.DUMMYFUNCTION("""COMPUTED_VALUE"""),"")</f>
        <v/>
      </c>
      <c r="L529" s="42" t="s">
        <v>79</v>
      </c>
      <c r="M529" s="42" t="s">
        <v>79</v>
      </c>
    </row>
    <row r="530">
      <c r="A530" s="30"/>
      <c r="B530" s="37" t="s">
        <v>79</v>
      </c>
      <c r="E530" s="21" t="s">
        <v>79</v>
      </c>
      <c r="F530" s="40"/>
      <c r="G530" s="4"/>
      <c r="H530" s="4"/>
      <c r="K530" s="41" t="str">
        <f>IFERROR(__xludf.DUMMYFUNCTION("""COMPUTED_VALUE"""),"")</f>
        <v/>
      </c>
      <c r="L530" s="42" t="s">
        <v>79</v>
      </c>
      <c r="M530" s="42" t="s">
        <v>79</v>
      </c>
    </row>
    <row r="531">
      <c r="A531" s="30"/>
      <c r="B531" s="37" t="s">
        <v>79</v>
      </c>
      <c r="E531" s="21" t="s">
        <v>79</v>
      </c>
      <c r="F531" s="40"/>
      <c r="G531" s="4"/>
      <c r="H531" s="4"/>
      <c r="K531" s="41" t="str">
        <f>IFERROR(__xludf.DUMMYFUNCTION("""COMPUTED_VALUE"""),"")</f>
        <v/>
      </c>
      <c r="L531" s="42" t="s">
        <v>79</v>
      </c>
      <c r="M531" s="42" t="s">
        <v>79</v>
      </c>
    </row>
    <row r="532">
      <c r="A532" s="30"/>
      <c r="B532" s="37" t="s">
        <v>79</v>
      </c>
      <c r="E532" s="21" t="s">
        <v>79</v>
      </c>
      <c r="F532" s="40"/>
      <c r="G532" s="4"/>
      <c r="H532" s="4"/>
      <c r="K532" s="41" t="str">
        <f>IFERROR(__xludf.DUMMYFUNCTION("""COMPUTED_VALUE"""),"")</f>
        <v/>
      </c>
      <c r="L532" s="42" t="s">
        <v>79</v>
      </c>
      <c r="M532" s="42" t="s">
        <v>79</v>
      </c>
    </row>
    <row r="533">
      <c r="A533" s="30"/>
      <c r="B533" s="37" t="s">
        <v>79</v>
      </c>
      <c r="E533" s="21" t="s">
        <v>79</v>
      </c>
      <c r="F533" s="40"/>
      <c r="G533" s="4"/>
      <c r="H533" s="4"/>
      <c r="K533" s="41" t="str">
        <f>IFERROR(__xludf.DUMMYFUNCTION("""COMPUTED_VALUE"""),"")</f>
        <v/>
      </c>
      <c r="L533" s="42" t="s">
        <v>79</v>
      </c>
      <c r="M533" s="42" t="s">
        <v>79</v>
      </c>
    </row>
    <row r="534">
      <c r="A534" s="30"/>
      <c r="B534" s="37" t="s">
        <v>79</v>
      </c>
      <c r="E534" s="21" t="s">
        <v>79</v>
      </c>
      <c r="F534" s="40"/>
      <c r="G534" s="4"/>
      <c r="H534" s="4"/>
      <c r="K534" s="41" t="str">
        <f>IFERROR(__xludf.DUMMYFUNCTION("""COMPUTED_VALUE"""),"")</f>
        <v/>
      </c>
      <c r="L534" s="42" t="s">
        <v>79</v>
      </c>
      <c r="M534" s="42" t="s">
        <v>79</v>
      </c>
    </row>
    <row r="535">
      <c r="A535" s="30"/>
      <c r="B535" s="37" t="s">
        <v>79</v>
      </c>
      <c r="E535" s="21" t="s">
        <v>79</v>
      </c>
      <c r="F535" s="40"/>
      <c r="G535" s="4"/>
      <c r="H535" s="4"/>
      <c r="K535" s="41" t="str">
        <f>IFERROR(__xludf.DUMMYFUNCTION("""COMPUTED_VALUE"""),"")</f>
        <v/>
      </c>
      <c r="L535" s="42" t="s">
        <v>79</v>
      </c>
      <c r="M535" s="42" t="s">
        <v>79</v>
      </c>
    </row>
    <row r="536">
      <c r="A536" s="30"/>
      <c r="B536" s="37" t="s">
        <v>79</v>
      </c>
      <c r="E536" s="21" t="s">
        <v>79</v>
      </c>
      <c r="F536" s="40"/>
      <c r="G536" s="4"/>
      <c r="H536" s="4"/>
      <c r="K536" s="41" t="str">
        <f>IFERROR(__xludf.DUMMYFUNCTION("""COMPUTED_VALUE"""),"")</f>
        <v/>
      </c>
      <c r="L536" s="42" t="s">
        <v>79</v>
      </c>
      <c r="M536" s="42" t="s">
        <v>79</v>
      </c>
    </row>
    <row r="537">
      <c r="A537" s="30"/>
      <c r="B537" s="37" t="s">
        <v>79</v>
      </c>
      <c r="E537" s="21" t="s">
        <v>79</v>
      </c>
      <c r="F537" s="40"/>
      <c r="G537" s="4"/>
      <c r="H537" s="4"/>
      <c r="K537" s="41" t="str">
        <f>IFERROR(__xludf.DUMMYFUNCTION("""COMPUTED_VALUE"""),"")</f>
        <v/>
      </c>
      <c r="L537" s="42" t="s">
        <v>79</v>
      </c>
      <c r="M537" s="42" t="s">
        <v>79</v>
      </c>
    </row>
    <row r="538">
      <c r="A538" s="30"/>
      <c r="B538" s="37" t="s">
        <v>79</v>
      </c>
      <c r="E538" s="21" t="s">
        <v>79</v>
      </c>
      <c r="F538" s="40"/>
      <c r="G538" s="4"/>
      <c r="H538" s="4"/>
      <c r="K538" s="41" t="str">
        <f>IFERROR(__xludf.DUMMYFUNCTION("""COMPUTED_VALUE"""),"")</f>
        <v/>
      </c>
      <c r="L538" s="42" t="s">
        <v>79</v>
      </c>
      <c r="M538" s="42" t="s">
        <v>79</v>
      </c>
    </row>
    <row r="539">
      <c r="A539" s="30"/>
      <c r="B539" s="37" t="s">
        <v>79</v>
      </c>
      <c r="E539" s="21" t="s">
        <v>79</v>
      </c>
      <c r="F539" s="40"/>
      <c r="G539" s="4"/>
      <c r="H539" s="4"/>
      <c r="K539" s="41" t="str">
        <f>IFERROR(__xludf.DUMMYFUNCTION("""COMPUTED_VALUE"""),"")</f>
        <v/>
      </c>
      <c r="L539" s="42" t="s">
        <v>79</v>
      </c>
      <c r="M539" s="42" t="s">
        <v>79</v>
      </c>
    </row>
    <row r="540">
      <c r="A540" s="30"/>
      <c r="B540" s="37" t="s">
        <v>79</v>
      </c>
      <c r="E540" s="21" t="s">
        <v>79</v>
      </c>
      <c r="F540" s="40"/>
      <c r="G540" s="4"/>
      <c r="H540" s="4"/>
      <c r="K540" s="41" t="str">
        <f>IFERROR(__xludf.DUMMYFUNCTION("""COMPUTED_VALUE"""),"")</f>
        <v/>
      </c>
      <c r="L540" s="42" t="s">
        <v>79</v>
      </c>
      <c r="M540" s="42" t="s">
        <v>79</v>
      </c>
    </row>
    <row r="541">
      <c r="A541" s="30"/>
      <c r="B541" s="37" t="s">
        <v>79</v>
      </c>
      <c r="E541" s="21" t="s">
        <v>79</v>
      </c>
      <c r="F541" s="40"/>
      <c r="G541" s="4"/>
      <c r="H541" s="4"/>
      <c r="K541" s="41" t="str">
        <f>IFERROR(__xludf.DUMMYFUNCTION("""COMPUTED_VALUE"""),"")</f>
        <v/>
      </c>
      <c r="L541" s="42" t="s">
        <v>79</v>
      </c>
      <c r="M541" s="42" t="s">
        <v>79</v>
      </c>
    </row>
    <row r="542">
      <c r="A542" s="30"/>
      <c r="B542" s="37" t="s">
        <v>79</v>
      </c>
      <c r="E542" s="21" t="s">
        <v>79</v>
      </c>
      <c r="F542" s="40"/>
      <c r="G542" s="4"/>
      <c r="H542" s="4"/>
      <c r="K542" s="41" t="str">
        <f>IFERROR(__xludf.DUMMYFUNCTION("""COMPUTED_VALUE"""),"")</f>
        <v/>
      </c>
      <c r="L542" s="42" t="s">
        <v>79</v>
      </c>
      <c r="M542" s="42" t="s">
        <v>79</v>
      </c>
    </row>
    <row r="543">
      <c r="A543" s="30"/>
      <c r="B543" s="37" t="s">
        <v>79</v>
      </c>
      <c r="E543" s="21" t="s">
        <v>79</v>
      </c>
      <c r="F543" s="40"/>
      <c r="G543" s="4"/>
      <c r="H543" s="4"/>
      <c r="K543" s="41" t="str">
        <f>IFERROR(__xludf.DUMMYFUNCTION("""COMPUTED_VALUE"""),"")</f>
        <v/>
      </c>
      <c r="L543" s="42" t="s">
        <v>79</v>
      </c>
      <c r="M543" s="42" t="s">
        <v>79</v>
      </c>
    </row>
    <row r="544">
      <c r="A544" s="30"/>
      <c r="B544" s="37" t="s">
        <v>79</v>
      </c>
      <c r="E544" s="21" t="s">
        <v>79</v>
      </c>
      <c r="F544" s="40"/>
      <c r="G544" s="4"/>
      <c r="H544" s="4"/>
      <c r="K544" s="41" t="str">
        <f>IFERROR(__xludf.DUMMYFUNCTION("""COMPUTED_VALUE"""),"")</f>
        <v/>
      </c>
      <c r="L544" s="42" t="s">
        <v>79</v>
      </c>
      <c r="M544" s="42" t="s">
        <v>79</v>
      </c>
    </row>
    <row r="545">
      <c r="A545" s="30"/>
      <c r="B545" s="37" t="s">
        <v>79</v>
      </c>
      <c r="E545" s="21" t="s">
        <v>79</v>
      </c>
      <c r="F545" s="40"/>
      <c r="G545" s="4"/>
      <c r="H545" s="4"/>
      <c r="K545" s="41" t="str">
        <f>IFERROR(__xludf.DUMMYFUNCTION("""COMPUTED_VALUE"""),"")</f>
        <v/>
      </c>
      <c r="L545" s="42" t="s">
        <v>79</v>
      </c>
      <c r="M545" s="42" t="s">
        <v>79</v>
      </c>
    </row>
    <row r="546">
      <c r="A546" s="30"/>
      <c r="B546" s="37" t="s">
        <v>79</v>
      </c>
      <c r="E546" s="21" t="s">
        <v>79</v>
      </c>
      <c r="F546" s="40"/>
      <c r="G546" s="4"/>
      <c r="H546" s="4"/>
      <c r="K546" s="41" t="str">
        <f>IFERROR(__xludf.DUMMYFUNCTION("""COMPUTED_VALUE"""),"")</f>
        <v/>
      </c>
      <c r="L546" s="42" t="s">
        <v>79</v>
      </c>
      <c r="M546" s="42" t="s">
        <v>79</v>
      </c>
    </row>
    <row r="547">
      <c r="A547" s="30"/>
      <c r="B547" s="37" t="s">
        <v>79</v>
      </c>
      <c r="E547" s="21" t="s">
        <v>79</v>
      </c>
      <c r="F547" s="40"/>
      <c r="G547" s="4"/>
      <c r="H547" s="4"/>
      <c r="K547" s="41" t="str">
        <f>IFERROR(__xludf.DUMMYFUNCTION("""COMPUTED_VALUE"""),"")</f>
        <v/>
      </c>
      <c r="L547" s="42" t="s">
        <v>79</v>
      </c>
      <c r="M547" s="42" t="s">
        <v>79</v>
      </c>
    </row>
    <row r="548">
      <c r="A548" s="30"/>
      <c r="B548" s="37" t="s">
        <v>79</v>
      </c>
      <c r="E548" s="21" t="s">
        <v>79</v>
      </c>
      <c r="F548" s="40"/>
      <c r="G548" s="4"/>
      <c r="H548" s="4"/>
      <c r="K548" s="41" t="str">
        <f>IFERROR(__xludf.DUMMYFUNCTION("""COMPUTED_VALUE"""),"")</f>
        <v/>
      </c>
      <c r="L548" s="42" t="s">
        <v>79</v>
      </c>
      <c r="M548" s="42" t="s">
        <v>79</v>
      </c>
    </row>
    <row r="549">
      <c r="A549" s="30"/>
      <c r="B549" s="37" t="s">
        <v>79</v>
      </c>
      <c r="E549" s="21" t="s">
        <v>79</v>
      </c>
      <c r="F549" s="40"/>
      <c r="G549" s="4"/>
      <c r="H549" s="4"/>
      <c r="K549" s="41" t="str">
        <f>IFERROR(__xludf.DUMMYFUNCTION("""COMPUTED_VALUE"""),"")</f>
        <v/>
      </c>
      <c r="L549" s="42" t="s">
        <v>79</v>
      </c>
      <c r="M549" s="42" t="s">
        <v>79</v>
      </c>
    </row>
    <row r="550">
      <c r="A550" s="30"/>
      <c r="B550" s="37" t="s">
        <v>79</v>
      </c>
      <c r="E550" s="21" t="s">
        <v>79</v>
      </c>
      <c r="F550" s="40"/>
      <c r="G550" s="4"/>
      <c r="H550" s="4"/>
      <c r="K550" s="41" t="str">
        <f>IFERROR(__xludf.DUMMYFUNCTION("""COMPUTED_VALUE"""),"")</f>
        <v/>
      </c>
      <c r="L550" s="42" t="s">
        <v>79</v>
      </c>
      <c r="M550" s="42" t="s">
        <v>79</v>
      </c>
    </row>
    <row r="551">
      <c r="A551" s="30"/>
      <c r="B551" s="37" t="s">
        <v>79</v>
      </c>
      <c r="E551" s="21" t="s">
        <v>79</v>
      </c>
      <c r="F551" s="40"/>
      <c r="G551" s="4"/>
      <c r="H551" s="4"/>
      <c r="K551" s="41" t="str">
        <f>IFERROR(__xludf.DUMMYFUNCTION("""COMPUTED_VALUE"""),"")</f>
        <v/>
      </c>
      <c r="L551" s="42" t="s">
        <v>79</v>
      </c>
      <c r="M551" s="42" t="s">
        <v>79</v>
      </c>
    </row>
    <row r="552">
      <c r="A552" s="30"/>
      <c r="B552" s="37" t="s">
        <v>79</v>
      </c>
      <c r="E552" s="21" t="s">
        <v>79</v>
      </c>
      <c r="F552" s="40"/>
      <c r="G552" s="4"/>
      <c r="H552" s="4"/>
      <c r="K552" s="41" t="str">
        <f>IFERROR(__xludf.DUMMYFUNCTION("""COMPUTED_VALUE"""),"")</f>
        <v/>
      </c>
      <c r="L552" s="42" t="s">
        <v>79</v>
      </c>
      <c r="M552" s="42" t="s">
        <v>79</v>
      </c>
    </row>
    <row r="553">
      <c r="A553" s="30"/>
      <c r="B553" s="37" t="s">
        <v>79</v>
      </c>
      <c r="E553" s="21" t="s">
        <v>79</v>
      </c>
      <c r="F553" s="40"/>
      <c r="G553" s="4"/>
      <c r="H553" s="4"/>
      <c r="K553" s="41" t="str">
        <f>IFERROR(__xludf.DUMMYFUNCTION("""COMPUTED_VALUE"""),"")</f>
        <v/>
      </c>
      <c r="L553" s="42" t="s">
        <v>79</v>
      </c>
      <c r="M553" s="42" t="s">
        <v>79</v>
      </c>
    </row>
    <row r="554">
      <c r="A554" s="30"/>
      <c r="B554" s="37" t="s">
        <v>79</v>
      </c>
      <c r="E554" s="21" t="s">
        <v>79</v>
      </c>
      <c r="F554" s="40"/>
      <c r="G554" s="4"/>
      <c r="H554" s="4"/>
      <c r="K554" s="41" t="str">
        <f>IFERROR(__xludf.DUMMYFUNCTION("""COMPUTED_VALUE"""),"")</f>
        <v/>
      </c>
      <c r="L554" s="42" t="s">
        <v>79</v>
      </c>
      <c r="M554" s="42" t="s">
        <v>79</v>
      </c>
    </row>
    <row r="555">
      <c r="A555" s="30"/>
      <c r="B555" s="37" t="s">
        <v>79</v>
      </c>
      <c r="E555" s="21" t="s">
        <v>79</v>
      </c>
      <c r="F555" s="40"/>
      <c r="G555" s="4"/>
      <c r="H555" s="4"/>
      <c r="K555" s="41" t="str">
        <f>IFERROR(__xludf.DUMMYFUNCTION("""COMPUTED_VALUE"""),"")</f>
        <v/>
      </c>
      <c r="L555" s="42" t="s">
        <v>79</v>
      </c>
      <c r="M555" s="42" t="s">
        <v>79</v>
      </c>
    </row>
    <row r="556">
      <c r="A556" s="30"/>
      <c r="B556" s="37" t="s">
        <v>79</v>
      </c>
      <c r="E556" s="21" t="s">
        <v>79</v>
      </c>
      <c r="F556" s="40"/>
      <c r="G556" s="4"/>
      <c r="H556" s="4"/>
      <c r="K556" s="41" t="str">
        <f>IFERROR(__xludf.DUMMYFUNCTION("""COMPUTED_VALUE"""),"")</f>
        <v/>
      </c>
      <c r="L556" s="42" t="s">
        <v>79</v>
      </c>
      <c r="M556" s="42" t="s">
        <v>79</v>
      </c>
    </row>
    <row r="557">
      <c r="A557" s="30"/>
      <c r="B557" s="37" t="s">
        <v>79</v>
      </c>
      <c r="E557" s="21" t="s">
        <v>79</v>
      </c>
      <c r="F557" s="40"/>
      <c r="G557" s="4"/>
      <c r="H557" s="4"/>
      <c r="K557" s="41" t="str">
        <f>IFERROR(__xludf.DUMMYFUNCTION("""COMPUTED_VALUE"""),"")</f>
        <v/>
      </c>
      <c r="L557" s="42" t="s">
        <v>79</v>
      </c>
      <c r="M557" s="42" t="s">
        <v>79</v>
      </c>
    </row>
    <row r="558">
      <c r="A558" s="30"/>
      <c r="B558" s="37" t="s">
        <v>79</v>
      </c>
      <c r="E558" s="21" t="s">
        <v>79</v>
      </c>
      <c r="F558" s="40"/>
      <c r="G558" s="4"/>
      <c r="H558" s="4"/>
      <c r="K558" s="41" t="str">
        <f>IFERROR(__xludf.DUMMYFUNCTION("""COMPUTED_VALUE"""),"")</f>
        <v/>
      </c>
      <c r="L558" s="42" t="s">
        <v>79</v>
      </c>
      <c r="M558" s="42" t="s">
        <v>79</v>
      </c>
    </row>
    <row r="559">
      <c r="A559" s="30"/>
      <c r="B559" s="37" t="s">
        <v>79</v>
      </c>
      <c r="E559" s="21" t="s">
        <v>79</v>
      </c>
      <c r="F559" s="40"/>
      <c r="G559" s="4"/>
      <c r="H559" s="4"/>
      <c r="K559" s="41" t="str">
        <f>IFERROR(__xludf.DUMMYFUNCTION("""COMPUTED_VALUE"""),"")</f>
        <v/>
      </c>
      <c r="L559" s="42" t="s">
        <v>79</v>
      </c>
      <c r="M559" s="42" t="s">
        <v>79</v>
      </c>
    </row>
    <row r="560">
      <c r="A560" s="30"/>
      <c r="B560" s="37" t="s">
        <v>79</v>
      </c>
      <c r="E560" s="21" t="s">
        <v>79</v>
      </c>
      <c r="F560" s="40"/>
      <c r="G560" s="4"/>
      <c r="H560" s="4"/>
      <c r="K560" s="41" t="str">
        <f>IFERROR(__xludf.DUMMYFUNCTION("""COMPUTED_VALUE"""),"")</f>
        <v/>
      </c>
      <c r="L560" s="42" t="s">
        <v>79</v>
      </c>
      <c r="M560" s="42" t="s">
        <v>79</v>
      </c>
    </row>
    <row r="561">
      <c r="A561" s="30"/>
      <c r="B561" s="37" t="s">
        <v>79</v>
      </c>
      <c r="E561" s="21" t="s">
        <v>79</v>
      </c>
      <c r="F561" s="40"/>
      <c r="G561" s="4"/>
      <c r="H561" s="4"/>
      <c r="K561" s="41" t="str">
        <f>IFERROR(__xludf.DUMMYFUNCTION("""COMPUTED_VALUE"""),"")</f>
        <v/>
      </c>
      <c r="L561" s="42" t="s">
        <v>79</v>
      </c>
      <c r="M561" s="42" t="s">
        <v>79</v>
      </c>
    </row>
    <row r="562">
      <c r="A562" s="30"/>
      <c r="B562" s="37" t="s">
        <v>79</v>
      </c>
      <c r="E562" s="21" t="s">
        <v>79</v>
      </c>
      <c r="F562" s="40"/>
      <c r="G562" s="4"/>
      <c r="H562" s="4"/>
      <c r="K562" s="41" t="str">
        <f>IFERROR(__xludf.DUMMYFUNCTION("""COMPUTED_VALUE"""),"")</f>
        <v/>
      </c>
      <c r="L562" s="42" t="s">
        <v>79</v>
      </c>
      <c r="M562" s="42" t="s">
        <v>79</v>
      </c>
    </row>
    <row r="563">
      <c r="A563" s="30"/>
      <c r="B563" s="37" t="s">
        <v>79</v>
      </c>
      <c r="E563" s="21" t="s">
        <v>79</v>
      </c>
      <c r="F563" s="40"/>
      <c r="G563" s="4"/>
      <c r="H563" s="4"/>
      <c r="K563" s="41" t="str">
        <f>IFERROR(__xludf.DUMMYFUNCTION("""COMPUTED_VALUE"""),"")</f>
        <v/>
      </c>
      <c r="L563" s="42" t="s">
        <v>79</v>
      </c>
      <c r="M563" s="42" t="s">
        <v>79</v>
      </c>
    </row>
    <row r="564">
      <c r="A564" s="30"/>
      <c r="B564" s="37" t="s">
        <v>79</v>
      </c>
      <c r="E564" s="21" t="s">
        <v>79</v>
      </c>
      <c r="F564" s="40"/>
      <c r="G564" s="4"/>
      <c r="H564" s="4"/>
      <c r="K564" s="41" t="str">
        <f>IFERROR(__xludf.DUMMYFUNCTION("""COMPUTED_VALUE"""),"")</f>
        <v/>
      </c>
      <c r="L564" s="42" t="s">
        <v>79</v>
      </c>
      <c r="M564" s="42" t="s">
        <v>79</v>
      </c>
    </row>
    <row r="565">
      <c r="A565" s="30"/>
      <c r="B565" s="37" t="s">
        <v>79</v>
      </c>
      <c r="E565" s="21" t="s">
        <v>79</v>
      </c>
      <c r="F565" s="40"/>
      <c r="G565" s="4"/>
      <c r="H565" s="4"/>
      <c r="K565" s="41" t="str">
        <f>IFERROR(__xludf.DUMMYFUNCTION("""COMPUTED_VALUE"""),"")</f>
        <v/>
      </c>
      <c r="L565" s="42" t="s">
        <v>79</v>
      </c>
      <c r="M565" s="42" t="s">
        <v>79</v>
      </c>
    </row>
    <row r="566">
      <c r="A566" s="30"/>
      <c r="B566" s="37" t="s">
        <v>79</v>
      </c>
      <c r="E566" s="21" t="s">
        <v>79</v>
      </c>
      <c r="F566" s="40"/>
      <c r="G566" s="4"/>
      <c r="H566" s="4"/>
      <c r="K566" s="41" t="str">
        <f>IFERROR(__xludf.DUMMYFUNCTION("""COMPUTED_VALUE"""),"")</f>
        <v/>
      </c>
      <c r="L566" s="42" t="s">
        <v>79</v>
      </c>
      <c r="M566" s="42" t="s">
        <v>79</v>
      </c>
    </row>
    <row r="567">
      <c r="A567" s="30"/>
      <c r="B567" s="37" t="s">
        <v>79</v>
      </c>
      <c r="E567" s="21" t="s">
        <v>79</v>
      </c>
      <c r="F567" s="40"/>
      <c r="G567" s="4"/>
      <c r="H567" s="4"/>
      <c r="K567" s="41" t="str">
        <f>IFERROR(__xludf.DUMMYFUNCTION("""COMPUTED_VALUE"""),"")</f>
        <v/>
      </c>
      <c r="L567" s="42" t="s">
        <v>79</v>
      </c>
      <c r="M567" s="42" t="s">
        <v>79</v>
      </c>
    </row>
    <row r="568">
      <c r="A568" s="30"/>
      <c r="B568" s="37" t="s">
        <v>79</v>
      </c>
      <c r="E568" s="21" t="s">
        <v>79</v>
      </c>
      <c r="F568" s="40"/>
      <c r="G568" s="4"/>
      <c r="H568" s="4"/>
      <c r="K568" s="41" t="str">
        <f>IFERROR(__xludf.DUMMYFUNCTION("""COMPUTED_VALUE"""),"")</f>
        <v/>
      </c>
      <c r="L568" s="42" t="s">
        <v>79</v>
      </c>
      <c r="M568" s="42" t="s">
        <v>79</v>
      </c>
    </row>
    <row r="569">
      <c r="A569" s="30"/>
      <c r="B569" s="37" t="s">
        <v>79</v>
      </c>
      <c r="E569" s="21" t="s">
        <v>79</v>
      </c>
      <c r="F569" s="40"/>
      <c r="G569" s="4"/>
      <c r="H569" s="4"/>
      <c r="K569" s="41" t="str">
        <f>IFERROR(__xludf.DUMMYFUNCTION("""COMPUTED_VALUE"""),"")</f>
        <v/>
      </c>
      <c r="L569" s="42" t="s">
        <v>79</v>
      </c>
      <c r="M569" s="42" t="s">
        <v>79</v>
      </c>
    </row>
    <row r="570">
      <c r="A570" s="30"/>
      <c r="B570" s="37" t="s">
        <v>79</v>
      </c>
      <c r="E570" s="21" t="s">
        <v>79</v>
      </c>
      <c r="F570" s="40"/>
      <c r="G570" s="4"/>
      <c r="H570" s="4"/>
      <c r="K570" s="41" t="str">
        <f>IFERROR(__xludf.DUMMYFUNCTION("""COMPUTED_VALUE"""),"")</f>
        <v/>
      </c>
      <c r="L570" s="42" t="s">
        <v>79</v>
      </c>
      <c r="M570" s="42" t="s">
        <v>79</v>
      </c>
    </row>
    <row r="571">
      <c r="A571" s="30"/>
      <c r="B571" s="37" t="s">
        <v>79</v>
      </c>
      <c r="E571" s="21" t="s">
        <v>79</v>
      </c>
      <c r="F571" s="40"/>
      <c r="G571" s="4"/>
      <c r="H571" s="4"/>
      <c r="K571" s="41" t="str">
        <f>IFERROR(__xludf.DUMMYFUNCTION("""COMPUTED_VALUE"""),"")</f>
        <v/>
      </c>
      <c r="L571" s="42" t="s">
        <v>79</v>
      </c>
      <c r="M571" s="42" t="s">
        <v>79</v>
      </c>
    </row>
    <row r="572">
      <c r="A572" s="30"/>
      <c r="B572" s="37" t="s">
        <v>79</v>
      </c>
      <c r="E572" s="21" t="s">
        <v>79</v>
      </c>
      <c r="F572" s="40"/>
      <c r="G572" s="4"/>
      <c r="H572" s="4"/>
      <c r="K572" s="41" t="str">
        <f>IFERROR(__xludf.DUMMYFUNCTION("""COMPUTED_VALUE"""),"")</f>
        <v/>
      </c>
      <c r="L572" s="42" t="s">
        <v>79</v>
      </c>
      <c r="M572" s="42" t="s">
        <v>79</v>
      </c>
    </row>
    <row r="573">
      <c r="A573" s="30"/>
      <c r="B573" s="37" t="s">
        <v>79</v>
      </c>
      <c r="E573" s="21" t="s">
        <v>79</v>
      </c>
      <c r="F573" s="40"/>
      <c r="G573" s="4"/>
      <c r="H573" s="4"/>
      <c r="K573" s="41" t="str">
        <f>IFERROR(__xludf.DUMMYFUNCTION("""COMPUTED_VALUE"""),"")</f>
        <v/>
      </c>
      <c r="L573" s="42" t="s">
        <v>79</v>
      </c>
      <c r="M573" s="42" t="s">
        <v>79</v>
      </c>
    </row>
    <row r="574">
      <c r="A574" s="30"/>
      <c r="B574" s="37" t="s">
        <v>79</v>
      </c>
      <c r="E574" s="21" t="s">
        <v>79</v>
      </c>
      <c r="F574" s="40"/>
      <c r="G574" s="4"/>
      <c r="H574" s="4"/>
      <c r="K574" s="41" t="str">
        <f>IFERROR(__xludf.DUMMYFUNCTION("""COMPUTED_VALUE"""),"")</f>
        <v/>
      </c>
      <c r="L574" s="42" t="s">
        <v>79</v>
      </c>
      <c r="M574" s="42" t="s">
        <v>79</v>
      </c>
    </row>
    <row r="575">
      <c r="A575" s="30"/>
      <c r="B575" s="37" t="s">
        <v>79</v>
      </c>
      <c r="E575" s="21" t="s">
        <v>79</v>
      </c>
      <c r="F575" s="40"/>
      <c r="G575" s="4"/>
      <c r="H575" s="4"/>
      <c r="K575" s="41" t="str">
        <f>IFERROR(__xludf.DUMMYFUNCTION("""COMPUTED_VALUE"""),"")</f>
        <v/>
      </c>
      <c r="L575" s="42" t="s">
        <v>79</v>
      </c>
      <c r="M575" s="42" t="s">
        <v>79</v>
      </c>
    </row>
    <row r="576">
      <c r="A576" s="30"/>
      <c r="B576" s="37" t="s">
        <v>79</v>
      </c>
      <c r="E576" s="21" t="s">
        <v>79</v>
      </c>
      <c r="F576" s="40"/>
      <c r="G576" s="4"/>
      <c r="H576" s="4"/>
      <c r="K576" s="41" t="str">
        <f>IFERROR(__xludf.DUMMYFUNCTION("""COMPUTED_VALUE"""),"")</f>
        <v/>
      </c>
      <c r="L576" s="42" t="s">
        <v>79</v>
      </c>
      <c r="M576" s="42" t="s">
        <v>79</v>
      </c>
    </row>
    <row r="577">
      <c r="A577" s="30"/>
      <c r="B577" s="37" t="s">
        <v>79</v>
      </c>
      <c r="E577" s="21" t="s">
        <v>79</v>
      </c>
      <c r="F577" s="40"/>
      <c r="G577" s="4"/>
      <c r="H577" s="4"/>
      <c r="K577" s="41" t="str">
        <f>IFERROR(__xludf.DUMMYFUNCTION("""COMPUTED_VALUE"""),"")</f>
        <v/>
      </c>
      <c r="L577" s="42" t="s">
        <v>79</v>
      </c>
      <c r="M577" s="42" t="s">
        <v>79</v>
      </c>
    </row>
    <row r="578">
      <c r="A578" s="30"/>
      <c r="B578" s="37" t="s">
        <v>79</v>
      </c>
      <c r="E578" s="21" t="s">
        <v>79</v>
      </c>
      <c r="F578" s="40"/>
      <c r="G578" s="4"/>
      <c r="H578" s="4"/>
      <c r="K578" s="41" t="str">
        <f>IFERROR(__xludf.DUMMYFUNCTION("""COMPUTED_VALUE"""),"")</f>
        <v/>
      </c>
      <c r="L578" s="42" t="s">
        <v>79</v>
      </c>
      <c r="M578" s="42" t="s">
        <v>79</v>
      </c>
    </row>
    <row r="579">
      <c r="A579" s="30"/>
      <c r="B579" s="37" t="s">
        <v>79</v>
      </c>
      <c r="E579" s="21" t="s">
        <v>79</v>
      </c>
      <c r="F579" s="40"/>
      <c r="G579" s="4"/>
      <c r="H579" s="4"/>
      <c r="K579" s="41" t="str">
        <f>IFERROR(__xludf.DUMMYFUNCTION("""COMPUTED_VALUE"""),"")</f>
        <v/>
      </c>
      <c r="L579" s="42" t="s">
        <v>79</v>
      </c>
      <c r="M579" s="42" t="s">
        <v>79</v>
      </c>
    </row>
    <row r="580">
      <c r="A580" s="30"/>
      <c r="B580" s="37" t="s">
        <v>79</v>
      </c>
      <c r="E580" s="21" t="s">
        <v>79</v>
      </c>
      <c r="F580" s="40"/>
      <c r="G580" s="4"/>
      <c r="H580" s="4"/>
      <c r="K580" s="41" t="str">
        <f>IFERROR(__xludf.DUMMYFUNCTION("""COMPUTED_VALUE"""),"")</f>
        <v/>
      </c>
      <c r="L580" s="42" t="s">
        <v>79</v>
      </c>
      <c r="M580" s="42" t="s">
        <v>79</v>
      </c>
    </row>
    <row r="581">
      <c r="A581" s="30"/>
      <c r="B581" s="37" t="s">
        <v>79</v>
      </c>
      <c r="E581" s="21" t="s">
        <v>79</v>
      </c>
      <c r="F581" s="40"/>
      <c r="G581" s="4"/>
      <c r="H581" s="4"/>
      <c r="K581" s="41" t="str">
        <f>IFERROR(__xludf.DUMMYFUNCTION("""COMPUTED_VALUE"""),"")</f>
        <v/>
      </c>
      <c r="L581" s="42" t="s">
        <v>79</v>
      </c>
      <c r="M581" s="42" t="s">
        <v>79</v>
      </c>
    </row>
    <row r="582">
      <c r="A582" s="30"/>
      <c r="B582" s="37" t="s">
        <v>79</v>
      </c>
      <c r="E582" s="21" t="s">
        <v>79</v>
      </c>
      <c r="F582" s="40"/>
      <c r="G582" s="4"/>
      <c r="H582" s="4"/>
      <c r="K582" s="41" t="str">
        <f>IFERROR(__xludf.DUMMYFUNCTION("""COMPUTED_VALUE"""),"")</f>
        <v/>
      </c>
      <c r="L582" s="42" t="s">
        <v>79</v>
      </c>
      <c r="M582" s="42" t="s">
        <v>79</v>
      </c>
    </row>
    <row r="583">
      <c r="A583" s="30"/>
      <c r="B583" s="37" t="s">
        <v>79</v>
      </c>
      <c r="E583" s="21" t="s">
        <v>79</v>
      </c>
      <c r="F583" s="40"/>
      <c r="G583" s="4"/>
      <c r="H583" s="4"/>
      <c r="K583" s="41" t="str">
        <f>IFERROR(__xludf.DUMMYFUNCTION("""COMPUTED_VALUE"""),"")</f>
        <v/>
      </c>
      <c r="L583" s="42" t="s">
        <v>79</v>
      </c>
      <c r="M583" s="42" t="s">
        <v>79</v>
      </c>
    </row>
    <row r="584">
      <c r="A584" s="30"/>
      <c r="B584" s="37" t="s">
        <v>79</v>
      </c>
      <c r="E584" s="21" t="s">
        <v>79</v>
      </c>
      <c r="F584" s="40"/>
      <c r="G584" s="4"/>
      <c r="H584" s="4"/>
      <c r="K584" s="41" t="str">
        <f>IFERROR(__xludf.DUMMYFUNCTION("""COMPUTED_VALUE"""),"")</f>
        <v/>
      </c>
      <c r="L584" s="42" t="s">
        <v>79</v>
      </c>
      <c r="M584" s="42" t="s">
        <v>79</v>
      </c>
    </row>
    <row r="585">
      <c r="A585" s="30"/>
      <c r="B585" s="37" t="s">
        <v>79</v>
      </c>
      <c r="E585" s="21" t="s">
        <v>79</v>
      </c>
      <c r="F585" s="40"/>
      <c r="G585" s="4"/>
      <c r="H585" s="4"/>
      <c r="K585" s="41" t="str">
        <f>IFERROR(__xludf.DUMMYFUNCTION("""COMPUTED_VALUE"""),"")</f>
        <v/>
      </c>
      <c r="L585" s="42" t="s">
        <v>79</v>
      </c>
      <c r="M585" s="42" t="s">
        <v>79</v>
      </c>
    </row>
    <row r="586">
      <c r="A586" s="30"/>
      <c r="B586" s="37" t="s">
        <v>79</v>
      </c>
      <c r="E586" s="21" t="s">
        <v>79</v>
      </c>
      <c r="F586" s="40"/>
      <c r="G586" s="4"/>
      <c r="H586" s="4"/>
      <c r="K586" s="41" t="str">
        <f>IFERROR(__xludf.DUMMYFUNCTION("""COMPUTED_VALUE"""),"")</f>
        <v/>
      </c>
      <c r="L586" s="42" t="s">
        <v>79</v>
      </c>
      <c r="M586" s="42" t="s">
        <v>79</v>
      </c>
    </row>
    <row r="587">
      <c r="A587" s="30"/>
      <c r="B587" s="37" t="s">
        <v>79</v>
      </c>
      <c r="E587" s="21" t="s">
        <v>79</v>
      </c>
      <c r="F587" s="40"/>
      <c r="G587" s="4"/>
      <c r="H587" s="4"/>
      <c r="K587" s="41" t="str">
        <f>IFERROR(__xludf.DUMMYFUNCTION("""COMPUTED_VALUE"""),"")</f>
        <v/>
      </c>
      <c r="L587" s="42" t="s">
        <v>79</v>
      </c>
      <c r="M587" s="42" t="s">
        <v>79</v>
      </c>
    </row>
    <row r="588">
      <c r="A588" s="30"/>
      <c r="B588" s="37" t="s">
        <v>79</v>
      </c>
      <c r="E588" s="21" t="s">
        <v>79</v>
      </c>
      <c r="F588" s="40"/>
      <c r="G588" s="4"/>
      <c r="H588" s="4"/>
      <c r="K588" s="41" t="str">
        <f>IFERROR(__xludf.DUMMYFUNCTION("""COMPUTED_VALUE"""),"")</f>
        <v/>
      </c>
      <c r="L588" s="42" t="s">
        <v>79</v>
      </c>
      <c r="M588" s="42" t="s">
        <v>79</v>
      </c>
    </row>
    <row r="589">
      <c r="A589" s="30"/>
      <c r="B589" s="37" t="s">
        <v>79</v>
      </c>
      <c r="E589" s="21" t="s">
        <v>79</v>
      </c>
      <c r="F589" s="40"/>
      <c r="G589" s="4"/>
      <c r="H589" s="4"/>
      <c r="K589" s="41" t="str">
        <f>IFERROR(__xludf.DUMMYFUNCTION("""COMPUTED_VALUE"""),"")</f>
        <v/>
      </c>
      <c r="L589" s="42" t="s">
        <v>79</v>
      </c>
      <c r="M589" s="42" t="s">
        <v>79</v>
      </c>
    </row>
    <row r="590">
      <c r="A590" s="30"/>
      <c r="B590" s="37" t="s">
        <v>79</v>
      </c>
      <c r="E590" s="21" t="s">
        <v>79</v>
      </c>
      <c r="F590" s="40"/>
      <c r="G590" s="4"/>
      <c r="H590" s="4"/>
      <c r="K590" s="41" t="str">
        <f>IFERROR(__xludf.DUMMYFUNCTION("""COMPUTED_VALUE"""),"")</f>
        <v/>
      </c>
      <c r="L590" s="42" t="s">
        <v>79</v>
      </c>
      <c r="M590" s="42" t="s">
        <v>79</v>
      </c>
    </row>
    <row r="591">
      <c r="A591" s="30"/>
      <c r="B591" s="37" t="s">
        <v>79</v>
      </c>
      <c r="E591" s="21" t="s">
        <v>79</v>
      </c>
      <c r="F591" s="40"/>
      <c r="G591" s="4"/>
      <c r="H591" s="4"/>
      <c r="K591" s="41" t="str">
        <f>IFERROR(__xludf.DUMMYFUNCTION("""COMPUTED_VALUE"""),"")</f>
        <v/>
      </c>
      <c r="L591" s="42" t="s">
        <v>79</v>
      </c>
      <c r="M591" s="42" t="s">
        <v>79</v>
      </c>
    </row>
    <row r="592">
      <c r="A592" s="30"/>
      <c r="B592" s="37" t="s">
        <v>79</v>
      </c>
      <c r="E592" s="21" t="s">
        <v>79</v>
      </c>
      <c r="F592" s="40"/>
      <c r="G592" s="4"/>
      <c r="H592" s="4"/>
      <c r="K592" s="41" t="str">
        <f>IFERROR(__xludf.DUMMYFUNCTION("""COMPUTED_VALUE"""),"")</f>
        <v/>
      </c>
      <c r="L592" s="42" t="s">
        <v>79</v>
      </c>
      <c r="M592" s="42" t="s">
        <v>79</v>
      </c>
    </row>
    <row r="593">
      <c r="A593" s="30"/>
      <c r="B593" s="37" t="s">
        <v>79</v>
      </c>
      <c r="E593" s="21" t="s">
        <v>79</v>
      </c>
      <c r="F593" s="40"/>
      <c r="G593" s="4"/>
      <c r="H593" s="4"/>
      <c r="K593" s="41" t="str">
        <f>IFERROR(__xludf.DUMMYFUNCTION("""COMPUTED_VALUE"""),"")</f>
        <v/>
      </c>
      <c r="L593" s="42" t="s">
        <v>79</v>
      </c>
      <c r="M593" s="42" t="s">
        <v>79</v>
      </c>
    </row>
    <row r="594">
      <c r="A594" s="30"/>
      <c r="B594" s="37" t="s">
        <v>79</v>
      </c>
      <c r="E594" s="21" t="s">
        <v>79</v>
      </c>
      <c r="F594" s="40"/>
      <c r="G594" s="4"/>
      <c r="H594" s="4"/>
      <c r="K594" s="41" t="str">
        <f>IFERROR(__xludf.DUMMYFUNCTION("""COMPUTED_VALUE"""),"")</f>
        <v/>
      </c>
      <c r="L594" s="42" t="s">
        <v>79</v>
      </c>
      <c r="M594" s="42" t="s">
        <v>79</v>
      </c>
    </row>
    <row r="595">
      <c r="A595" s="30"/>
      <c r="B595" s="37" t="s">
        <v>79</v>
      </c>
      <c r="E595" s="21" t="s">
        <v>79</v>
      </c>
      <c r="F595" s="40"/>
      <c r="G595" s="4"/>
      <c r="H595" s="4"/>
      <c r="K595" s="41" t="str">
        <f>IFERROR(__xludf.DUMMYFUNCTION("""COMPUTED_VALUE"""),"")</f>
        <v/>
      </c>
      <c r="L595" s="42" t="s">
        <v>79</v>
      </c>
      <c r="M595" s="42" t="s">
        <v>79</v>
      </c>
    </row>
    <row r="596">
      <c r="A596" s="30"/>
      <c r="B596" s="37" t="s">
        <v>79</v>
      </c>
      <c r="E596" s="21" t="s">
        <v>79</v>
      </c>
      <c r="F596" s="40"/>
      <c r="G596" s="4"/>
      <c r="H596" s="4"/>
      <c r="K596" s="41" t="str">
        <f>IFERROR(__xludf.DUMMYFUNCTION("""COMPUTED_VALUE"""),"")</f>
        <v/>
      </c>
      <c r="L596" s="42" t="s">
        <v>79</v>
      </c>
      <c r="M596" s="42" t="s">
        <v>79</v>
      </c>
    </row>
    <row r="597">
      <c r="A597" s="30"/>
      <c r="B597" s="37" t="s">
        <v>79</v>
      </c>
      <c r="E597" s="21" t="s">
        <v>79</v>
      </c>
      <c r="F597" s="40"/>
      <c r="G597" s="4"/>
      <c r="H597" s="4"/>
      <c r="K597" s="41" t="str">
        <f>IFERROR(__xludf.DUMMYFUNCTION("""COMPUTED_VALUE"""),"")</f>
        <v/>
      </c>
      <c r="L597" s="42" t="s">
        <v>79</v>
      </c>
      <c r="M597" s="42" t="s">
        <v>79</v>
      </c>
    </row>
    <row r="598">
      <c r="A598" s="30"/>
      <c r="B598" s="37" t="s">
        <v>79</v>
      </c>
      <c r="E598" s="21" t="s">
        <v>79</v>
      </c>
      <c r="F598" s="40"/>
      <c r="G598" s="4"/>
      <c r="H598" s="4"/>
      <c r="K598" s="41" t="str">
        <f>IFERROR(__xludf.DUMMYFUNCTION("""COMPUTED_VALUE"""),"")</f>
        <v/>
      </c>
      <c r="L598" s="42" t="s">
        <v>79</v>
      </c>
      <c r="M598" s="42" t="s">
        <v>79</v>
      </c>
    </row>
    <row r="599">
      <c r="A599" s="30"/>
      <c r="B599" s="37" t="s">
        <v>79</v>
      </c>
      <c r="E599" s="21" t="s">
        <v>79</v>
      </c>
      <c r="F599" s="40"/>
      <c r="G599" s="4"/>
      <c r="H599" s="4"/>
      <c r="K599" s="41" t="str">
        <f>IFERROR(__xludf.DUMMYFUNCTION("""COMPUTED_VALUE"""),"")</f>
        <v/>
      </c>
      <c r="L599" s="42" t="s">
        <v>79</v>
      </c>
      <c r="M599" s="42" t="s">
        <v>79</v>
      </c>
    </row>
    <row r="600">
      <c r="A600" s="30"/>
      <c r="B600" s="37" t="s">
        <v>79</v>
      </c>
      <c r="E600" s="21" t="s">
        <v>79</v>
      </c>
      <c r="F600" s="40"/>
      <c r="G600" s="4"/>
      <c r="H600" s="4"/>
      <c r="K600" s="41" t="str">
        <f>IFERROR(__xludf.DUMMYFUNCTION("""COMPUTED_VALUE"""),"")</f>
        <v/>
      </c>
      <c r="L600" s="42" t="s">
        <v>79</v>
      </c>
      <c r="M600" s="42" t="s">
        <v>79</v>
      </c>
    </row>
    <row r="601">
      <c r="A601" s="30"/>
      <c r="B601" s="37" t="s">
        <v>79</v>
      </c>
      <c r="E601" s="21" t="s">
        <v>79</v>
      </c>
      <c r="F601" s="40"/>
      <c r="G601" s="4"/>
      <c r="H601" s="4"/>
      <c r="K601" s="41" t="str">
        <f>IFERROR(__xludf.DUMMYFUNCTION("""COMPUTED_VALUE"""),"")</f>
        <v/>
      </c>
      <c r="L601" s="42" t="s">
        <v>79</v>
      </c>
      <c r="M601" s="42" t="s">
        <v>79</v>
      </c>
    </row>
    <row r="602">
      <c r="A602" s="30"/>
      <c r="B602" s="37" t="s">
        <v>79</v>
      </c>
      <c r="E602" s="21" t="s">
        <v>79</v>
      </c>
      <c r="F602" s="40"/>
      <c r="G602" s="4"/>
      <c r="H602" s="4"/>
      <c r="K602" s="41" t="str">
        <f>IFERROR(__xludf.DUMMYFUNCTION("""COMPUTED_VALUE"""),"")</f>
        <v/>
      </c>
      <c r="L602" s="42" t="s">
        <v>79</v>
      </c>
      <c r="M602" s="42" t="s">
        <v>79</v>
      </c>
    </row>
    <row r="603">
      <c r="A603" s="30"/>
      <c r="B603" s="37" t="s">
        <v>79</v>
      </c>
      <c r="E603" s="21" t="s">
        <v>79</v>
      </c>
      <c r="F603" s="40"/>
      <c r="G603" s="4"/>
      <c r="H603" s="4"/>
      <c r="K603" s="41" t="str">
        <f>IFERROR(__xludf.DUMMYFUNCTION("""COMPUTED_VALUE"""),"")</f>
        <v/>
      </c>
      <c r="L603" s="42" t="s">
        <v>79</v>
      </c>
      <c r="M603" s="42" t="s">
        <v>79</v>
      </c>
    </row>
    <row r="604">
      <c r="A604" s="30"/>
      <c r="B604" s="37" t="s">
        <v>79</v>
      </c>
      <c r="E604" s="21" t="s">
        <v>79</v>
      </c>
      <c r="F604" s="40"/>
      <c r="G604" s="4"/>
      <c r="H604" s="4"/>
      <c r="K604" s="41" t="str">
        <f>IFERROR(__xludf.DUMMYFUNCTION("""COMPUTED_VALUE"""),"")</f>
        <v/>
      </c>
      <c r="L604" s="42" t="s">
        <v>79</v>
      </c>
      <c r="M604" s="42" t="s">
        <v>79</v>
      </c>
    </row>
    <row r="605">
      <c r="A605" s="30"/>
      <c r="B605" s="37" t="s">
        <v>79</v>
      </c>
      <c r="E605" s="21" t="s">
        <v>79</v>
      </c>
      <c r="F605" s="40"/>
      <c r="G605" s="4"/>
      <c r="H605" s="4"/>
      <c r="K605" s="41" t="str">
        <f>IFERROR(__xludf.DUMMYFUNCTION("""COMPUTED_VALUE"""),"")</f>
        <v/>
      </c>
      <c r="L605" s="42" t="s">
        <v>79</v>
      </c>
      <c r="M605" s="42" t="s">
        <v>79</v>
      </c>
    </row>
    <row r="606">
      <c r="A606" s="30"/>
      <c r="B606" s="37" t="s">
        <v>79</v>
      </c>
      <c r="E606" s="21" t="s">
        <v>79</v>
      </c>
      <c r="F606" s="40"/>
      <c r="G606" s="4"/>
      <c r="H606" s="4"/>
      <c r="K606" s="41" t="str">
        <f>IFERROR(__xludf.DUMMYFUNCTION("""COMPUTED_VALUE"""),"")</f>
        <v/>
      </c>
      <c r="L606" s="42" t="s">
        <v>79</v>
      </c>
      <c r="M606" s="42" t="s">
        <v>79</v>
      </c>
    </row>
    <row r="607">
      <c r="A607" s="30"/>
      <c r="B607" s="37" t="s">
        <v>79</v>
      </c>
      <c r="E607" s="21" t="s">
        <v>79</v>
      </c>
      <c r="F607" s="40"/>
      <c r="G607" s="4"/>
      <c r="H607" s="4"/>
      <c r="K607" s="41" t="str">
        <f>IFERROR(__xludf.DUMMYFUNCTION("""COMPUTED_VALUE"""),"")</f>
        <v/>
      </c>
      <c r="L607" s="42" t="s">
        <v>79</v>
      </c>
      <c r="M607" s="42" t="s">
        <v>79</v>
      </c>
    </row>
    <row r="608">
      <c r="A608" s="30"/>
      <c r="B608" s="37" t="s">
        <v>79</v>
      </c>
      <c r="E608" s="21" t="s">
        <v>79</v>
      </c>
      <c r="F608" s="40"/>
      <c r="G608" s="4"/>
      <c r="H608" s="4"/>
      <c r="K608" s="41" t="str">
        <f>IFERROR(__xludf.DUMMYFUNCTION("""COMPUTED_VALUE"""),"")</f>
        <v/>
      </c>
      <c r="L608" s="42" t="s">
        <v>79</v>
      </c>
      <c r="M608" s="42" t="s">
        <v>79</v>
      </c>
    </row>
    <row r="609">
      <c r="A609" s="30"/>
      <c r="B609" s="37" t="s">
        <v>79</v>
      </c>
      <c r="E609" s="21" t="s">
        <v>79</v>
      </c>
      <c r="F609" s="40"/>
      <c r="G609" s="4"/>
      <c r="H609" s="4"/>
      <c r="K609" s="41" t="str">
        <f>IFERROR(__xludf.DUMMYFUNCTION("""COMPUTED_VALUE"""),"")</f>
        <v/>
      </c>
      <c r="L609" s="42" t="s">
        <v>79</v>
      </c>
      <c r="M609" s="42" t="s">
        <v>79</v>
      </c>
    </row>
    <row r="610">
      <c r="A610" s="30"/>
      <c r="B610" s="37" t="s">
        <v>79</v>
      </c>
      <c r="E610" s="21" t="s">
        <v>79</v>
      </c>
      <c r="F610" s="40"/>
      <c r="G610" s="4"/>
      <c r="H610" s="4"/>
      <c r="K610" s="41" t="str">
        <f>IFERROR(__xludf.DUMMYFUNCTION("""COMPUTED_VALUE"""),"")</f>
        <v/>
      </c>
      <c r="L610" s="42" t="s">
        <v>79</v>
      </c>
      <c r="M610" s="42" t="s">
        <v>79</v>
      </c>
    </row>
    <row r="611">
      <c r="A611" s="30"/>
      <c r="B611" s="37" t="s">
        <v>79</v>
      </c>
      <c r="E611" s="21" t="s">
        <v>79</v>
      </c>
      <c r="F611" s="40"/>
      <c r="G611" s="4"/>
      <c r="H611" s="4"/>
      <c r="K611" s="41" t="str">
        <f>IFERROR(__xludf.DUMMYFUNCTION("""COMPUTED_VALUE"""),"")</f>
        <v/>
      </c>
      <c r="L611" s="42" t="s">
        <v>79</v>
      </c>
      <c r="M611" s="42" t="s">
        <v>79</v>
      </c>
    </row>
    <row r="612">
      <c r="A612" s="30"/>
      <c r="B612" s="37" t="s">
        <v>79</v>
      </c>
      <c r="E612" s="21" t="s">
        <v>79</v>
      </c>
      <c r="F612" s="40"/>
      <c r="G612" s="4"/>
      <c r="H612" s="4"/>
      <c r="K612" s="41" t="str">
        <f>IFERROR(__xludf.DUMMYFUNCTION("""COMPUTED_VALUE"""),"")</f>
        <v/>
      </c>
      <c r="L612" s="42" t="s">
        <v>79</v>
      </c>
      <c r="M612" s="42" t="s">
        <v>79</v>
      </c>
    </row>
    <row r="613">
      <c r="A613" s="30"/>
      <c r="B613" s="37" t="s">
        <v>79</v>
      </c>
      <c r="E613" s="21" t="s">
        <v>79</v>
      </c>
      <c r="F613" s="40"/>
      <c r="G613" s="4"/>
      <c r="H613" s="4"/>
      <c r="K613" s="41" t="str">
        <f>IFERROR(__xludf.DUMMYFUNCTION("""COMPUTED_VALUE"""),"")</f>
        <v/>
      </c>
      <c r="L613" s="42" t="s">
        <v>79</v>
      </c>
      <c r="M613" s="42" t="s">
        <v>79</v>
      </c>
    </row>
    <row r="614">
      <c r="A614" s="30"/>
      <c r="B614" s="37" t="s">
        <v>79</v>
      </c>
      <c r="E614" s="21" t="s">
        <v>79</v>
      </c>
      <c r="F614" s="40"/>
      <c r="G614" s="4"/>
      <c r="H614" s="4"/>
      <c r="K614" s="41" t="str">
        <f>IFERROR(__xludf.DUMMYFUNCTION("""COMPUTED_VALUE"""),"")</f>
        <v/>
      </c>
      <c r="L614" s="42" t="s">
        <v>79</v>
      </c>
      <c r="M614" s="42" t="s">
        <v>79</v>
      </c>
    </row>
    <row r="615">
      <c r="A615" s="30"/>
      <c r="B615" s="37" t="s">
        <v>79</v>
      </c>
      <c r="E615" s="21" t="s">
        <v>79</v>
      </c>
      <c r="F615" s="40"/>
      <c r="G615" s="4"/>
      <c r="H615" s="4"/>
      <c r="K615" s="41" t="str">
        <f>IFERROR(__xludf.DUMMYFUNCTION("""COMPUTED_VALUE"""),"")</f>
        <v/>
      </c>
      <c r="L615" s="42" t="s">
        <v>79</v>
      </c>
      <c r="M615" s="42" t="s">
        <v>79</v>
      </c>
    </row>
    <row r="616">
      <c r="A616" s="30"/>
      <c r="B616" s="37" t="s">
        <v>79</v>
      </c>
      <c r="E616" s="21" t="s">
        <v>79</v>
      </c>
      <c r="F616" s="40"/>
      <c r="G616" s="4"/>
      <c r="H616" s="4"/>
      <c r="K616" s="41" t="str">
        <f>IFERROR(__xludf.DUMMYFUNCTION("""COMPUTED_VALUE"""),"")</f>
        <v/>
      </c>
      <c r="L616" s="42" t="s">
        <v>79</v>
      </c>
      <c r="M616" s="42" t="s">
        <v>79</v>
      </c>
    </row>
    <row r="617">
      <c r="A617" s="30"/>
      <c r="B617" s="37" t="s">
        <v>79</v>
      </c>
      <c r="E617" s="21" t="s">
        <v>79</v>
      </c>
      <c r="F617" s="40"/>
      <c r="G617" s="4"/>
      <c r="H617" s="4"/>
      <c r="K617" s="41" t="str">
        <f>IFERROR(__xludf.DUMMYFUNCTION("""COMPUTED_VALUE"""),"")</f>
        <v/>
      </c>
      <c r="L617" s="42" t="s">
        <v>79</v>
      </c>
      <c r="M617" s="42" t="s">
        <v>79</v>
      </c>
    </row>
    <row r="618">
      <c r="A618" s="30"/>
      <c r="B618" s="37" t="s">
        <v>79</v>
      </c>
      <c r="E618" s="21" t="s">
        <v>79</v>
      </c>
      <c r="F618" s="40"/>
      <c r="G618" s="4"/>
      <c r="H618" s="4"/>
      <c r="K618" s="41" t="str">
        <f>IFERROR(__xludf.DUMMYFUNCTION("""COMPUTED_VALUE"""),"")</f>
        <v/>
      </c>
      <c r="L618" s="42" t="s">
        <v>79</v>
      </c>
      <c r="M618" s="42" t="s">
        <v>79</v>
      </c>
    </row>
    <row r="619">
      <c r="A619" s="30"/>
      <c r="B619" s="37" t="s">
        <v>79</v>
      </c>
      <c r="E619" s="21" t="s">
        <v>79</v>
      </c>
      <c r="F619" s="40"/>
      <c r="G619" s="4"/>
      <c r="H619" s="4"/>
      <c r="K619" s="41" t="str">
        <f>IFERROR(__xludf.DUMMYFUNCTION("""COMPUTED_VALUE"""),"")</f>
        <v/>
      </c>
      <c r="L619" s="42" t="s">
        <v>79</v>
      </c>
      <c r="M619" s="42" t="s">
        <v>79</v>
      </c>
    </row>
    <row r="620">
      <c r="A620" s="30"/>
      <c r="B620" s="37" t="s">
        <v>79</v>
      </c>
      <c r="E620" s="21" t="s">
        <v>79</v>
      </c>
      <c r="F620" s="40"/>
      <c r="G620" s="4"/>
      <c r="H620" s="4"/>
      <c r="K620" s="41" t="str">
        <f>IFERROR(__xludf.DUMMYFUNCTION("""COMPUTED_VALUE"""),"")</f>
        <v/>
      </c>
      <c r="L620" s="42" t="s">
        <v>79</v>
      </c>
      <c r="M620" s="42" t="s">
        <v>79</v>
      </c>
    </row>
    <row r="621">
      <c r="A621" s="30"/>
      <c r="B621" s="37" t="s">
        <v>79</v>
      </c>
      <c r="E621" s="21" t="s">
        <v>79</v>
      </c>
      <c r="F621" s="40"/>
      <c r="G621" s="4"/>
      <c r="H621" s="4"/>
      <c r="K621" s="41" t="str">
        <f>IFERROR(__xludf.DUMMYFUNCTION("""COMPUTED_VALUE"""),"")</f>
        <v/>
      </c>
      <c r="L621" s="42" t="s">
        <v>79</v>
      </c>
      <c r="M621" s="42" t="s">
        <v>79</v>
      </c>
    </row>
    <row r="622">
      <c r="A622" s="30"/>
      <c r="B622" s="37" t="s">
        <v>79</v>
      </c>
      <c r="E622" s="21" t="s">
        <v>79</v>
      </c>
      <c r="F622" s="40"/>
      <c r="G622" s="4"/>
      <c r="H622" s="4"/>
      <c r="K622" s="41" t="str">
        <f>IFERROR(__xludf.DUMMYFUNCTION("""COMPUTED_VALUE"""),"")</f>
        <v/>
      </c>
      <c r="L622" s="42" t="s">
        <v>79</v>
      </c>
      <c r="M622" s="42" t="s">
        <v>79</v>
      </c>
    </row>
    <row r="623">
      <c r="A623" s="30"/>
      <c r="B623" s="37" t="s">
        <v>79</v>
      </c>
      <c r="E623" s="21" t="s">
        <v>79</v>
      </c>
      <c r="F623" s="40"/>
      <c r="G623" s="4"/>
      <c r="H623" s="4"/>
      <c r="K623" s="41" t="str">
        <f>IFERROR(__xludf.DUMMYFUNCTION("""COMPUTED_VALUE"""),"")</f>
        <v/>
      </c>
      <c r="L623" s="42" t="s">
        <v>79</v>
      </c>
      <c r="M623" s="42" t="s">
        <v>79</v>
      </c>
    </row>
    <row r="624">
      <c r="A624" s="30"/>
      <c r="B624" s="37" t="s">
        <v>79</v>
      </c>
      <c r="E624" s="21" t="s">
        <v>79</v>
      </c>
      <c r="F624" s="40"/>
      <c r="G624" s="4"/>
      <c r="H624" s="4"/>
      <c r="K624" s="41" t="str">
        <f>IFERROR(__xludf.DUMMYFUNCTION("""COMPUTED_VALUE"""),"")</f>
        <v/>
      </c>
      <c r="L624" s="42" t="s">
        <v>79</v>
      </c>
      <c r="M624" s="42" t="s">
        <v>79</v>
      </c>
    </row>
    <row r="625">
      <c r="A625" s="30"/>
      <c r="B625" s="37" t="s">
        <v>79</v>
      </c>
      <c r="E625" s="21" t="s">
        <v>79</v>
      </c>
      <c r="F625" s="40"/>
      <c r="G625" s="4"/>
      <c r="H625" s="4"/>
      <c r="K625" s="41" t="str">
        <f>IFERROR(__xludf.DUMMYFUNCTION("""COMPUTED_VALUE"""),"")</f>
        <v/>
      </c>
      <c r="L625" s="42" t="s">
        <v>79</v>
      </c>
      <c r="M625" s="42" t="s">
        <v>79</v>
      </c>
    </row>
    <row r="626">
      <c r="A626" s="30"/>
      <c r="B626" s="37" t="s">
        <v>79</v>
      </c>
      <c r="E626" s="21" t="s">
        <v>79</v>
      </c>
      <c r="F626" s="40"/>
      <c r="G626" s="4"/>
      <c r="H626" s="4"/>
      <c r="K626" s="41" t="str">
        <f>IFERROR(__xludf.DUMMYFUNCTION("""COMPUTED_VALUE"""),"")</f>
        <v/>
      </c>
      <c r="L626" s="42" t="s">
        <v>79</v>
      </c>
      <c r="M626" s="42" t="s">
        <v>79</v>
      </c>
    </row>
    <row r="627">
      <c r="A627" s="30"/>
      <c r="B627" s="37" t="s">
        <v>79</v>
      </c>
      <c r="E627" s="21" t="s">
        <v>79</v>
      </c>
      <c r="F627" s="40"/>
      <c r="G627" s="4"/>
      <c r="H627" s="4"/>
      <c r="K627" s="41" t="str">
        <f>IFERROR(__xludf.DUMMYFUNCTION("""COMPUTED_VALUE"""),"")</f>
        <v/>
      </c>
      <c r="L627" s="42" t="s">
        <v>79</v>
      </c>
      <c r="M627" s="42" t="s">
        <v>79</v>
      </c>
    </row>
    <row r="628">
      <c r="A628" s="30"/>
      <c r="B628" s="37" t="s">
        <v>79</v>
      </c>
      <c r="E628" s="21" t="s">
        <v>79</v>
      </c>
      <c r="F628" s="40"/>
      <c r="G628" s="4"/>
      <c r="H628" s="4"/>
      <c r="K628" s="41" t="str">
        <f>IFERROR(__xludf.DUMMYFUNCTION("""COMPUTED_VALUE"""),"")</f>
        <v/>
      </c>
      <c r="L628" s="42" t="s">
        <v>79</v>
      </c>
      <c r="M628" s="42" t="s">
        <v>79</v>
      </c>
    </row>
    <row r="629">
      <c r="A629" s="30"/>
      <c r="B629" s="37" t="s">
        <v>79</v>
      </c>
      <c r="E629" s="21" t="s">
        <v>79</v>
      </c>
      <c r="F629" s="40"/>
      <c r="G629" s="4"/>
      <c r="H629" s="4"/>
      <c r="K629" s="41" t="str">
        <f>IFERROR(__xludf.DUMMYFUNCTION("""COMPUTED_VALUE"""),"")</f>
        <v/>
      </c>
      <c r="L629" s="42" t="s">
        <v>79</v>
      </c>
      <c r="M629" s="42" t="s">
        <v>79</v>
      </c>
    </row>
    <row r="630">
      <c r="A630" s="30"/>
      <c r="B630" s="37" t="s">
        <v>79</v>
      </c>
      <c r="E630" s="21" t="s">
        <v>79</v>
      </c>
      <c r="F630" s="40"/>
      <c r="G630" s="4"/>
      <c r="H630" s="4"/>
      <c r="K630" s="41" t="str">
        <f>IFERROR(__xludf.DUMMYFUNCTION("""COMPUTED_VALUE"""),"")</f>
        <v/>
      </c>
      <c r="L630" s="42" t="s">
        <v>79</v>
      </c>
      <c r="M630" s="42" t="s">
        <v>79</v>
      </c>
    </row>
    <row r="631">
      <c r="A631" s="30"/>
      <c r="B631" s="37" t="s">
        <v>79</v>
      </c>
      <c r="E631" s="21" t="s">
        <v>79</v>
      </c>
      <c r="F631" s="40"/>
      <c r="G631" s="4"/>
      <c r="H631" s="4"/>
      <c r="K631" s="41" t="str">
        <f>IFERROR(__xludf.DUMMYFUNCTION("""COMPUTED_VALUE"""),"")</f>
        <v/>
      </c>
      <c r="L631" s="42" t="s">
        <v>79</v>
      </c>
      <c r="M631" s="42" t="s">
        <v>79</v>
      </c>
    </row>
    <row r="632">
      <c r="A632" s="30"/>
      <c r="B632" s="37" t="s">
        <v>79</v>
      </c>
      <c r="E632" s="21" t="s">
        <v>79</v>
      </c>
      <c r="F632" s="40"/>
      <c r="G632" s="4"/>
      <c r="H632" s="4"/>
      <c r="K632" s="41" t="str">
        <f>IFERROR(__xludf.DUMMYFUNCTION("""COMPUTED_VALUE"""),"")</f>
        <v/>
      </c>
      <c r="L632" s="42" t="s">
        <v>79</v>
      </c>
      <c r="M632" s="42" t="s">
        <v>79</v>
      </c>
    </row>
    <row r="633">
      <c r="A633" s="30"/>
      <c r="B633" s="37" t="s">
        <v>79</v>
      </c>
      <c r="E633" s="21" t="s">
        <v>79</v>
      </c>
      <c r="F633" s="40"/>
      <c r="G633" s="4"/>
      <c r="H633" s="4"/>
      <c r="K633" s="41" t="str">
        <f>IFERROR(__xludf.DUMMYFUNCTION("""COMPUTED_VALUE"""),"")</f>
        <v/>
      </c>
      <c r="L633" s="42" t="s">
        <v>79</v>
      </c>
      <c r="M633" s="42" t="s">
        <v>79</v>
      </c>
    </row>
    <row r="634">
      <c r="A634" s="30"/>
      <c r="B634" s="37" t="s">
        <v>79</v>
      </c>
      <c r="E634" s="21" t="s">
        <v>79</v>
      </c>
      <c r="F634" s="40"/>
      <c r="G634" s="4"/>
      <c r="H634" s="4"/>
      <c r="K634" s="41" t="str">
        <f>IFERROR(__xludf.DUMMYFUNCTION("""COMPUTED_VALUE"""),"")</f>
        <v/>
      </c>
      <c r="L634" s="42" t="s">
        <v>79</v>
      </c>
      <c r="M634" s="42" t="s">
        <v>79</v>
      </c>
    </row>
    <row r="635">
      <c r="A635" s="30"/>
      <c r="B635" s="37" t="s">
        <v>79</v>
      </c>
      <c r="E635" s="21" t="s">
        <v>79</v>
      </c>
      <c r="F635" s="40"/>
      <c r="G635" s="4"/>
      <c r="H635" s="4"/>
      <c r="K635" s="41" t="str">
        <f>IFERROR(__xludf.DUMMYFUNCTION("""COMPUTED_VALUE"""),"")</f>
        <v/>
      </c>
      <c r="L635" s="42" t="s">
        <v>79</v>
      </c>
      <c r="M635" s="42" t="s">
        <v>79</v>
      </c>
    </row>
    <row r="636">
      <c r="A636" s="30"/>
      <c r="B636" s="37" t="s">
        <v>79</v>
      </c>
      <c r="E636" s="21" t="s">
        <v>79</v>
      </c>
      <c r="F636" s="40"/>
      <c r="G636" s="4"/>
      <c r="H636" s="4"/>
      <c r="K636" s="41" t="str">
        <f>IFERROR(__xludf.DUMMYFUNCTION("""COMPUTED_VALUE"""),"")</f>
        <v/>
      </c>
      <c r="L636" s="42" t="s">
        <v>79</v>
      </c>
      <c r="M636" s="42" t="s">
        <v>79</v>
      </c>
    </row>
    <row r="637">
      <c r="A637" s="30"/>
      <c r="B637" s="37" t="s">
        <v>79</v>
      </c>
      <c r="E637" s="21" t="s">
        <v>79</v>
      </c>
      <c r="F637" s="40"/>
      <c r="G637" s="4"/>
      <c r="H637" s="4"/>
      <c r="K637" s="41" t="str">
        <f>IFERROR(__xludf.DUMMYFUNCTION("""COMPUTED_VALUE"""),"")</f>
        <v/>
      </c>
      <c r="L637" s="42" t="s">
        <v>79</v>
      </c>
      <c r="M637" s="42" t="s">
        <v>79</v>
      </c>
    </row>
    <row r="638">
      <c r="A638" s="30"/>
      <c r="B638" s="37" t="s">
        <v>79</v>
      </c>
      <c r="E638" s="21" t="s">
        <v>79</v>
      </c>
      <c r="F638" s="40"/>
      <c r="G638" s="4"/>
      <c r="H638" s="4"/>
      <c r="K638" s="41" t="str">
        <f>IFERROR(__xludf.DUMMYFUNCTION("""COMPUTED_VALUE"""),"")</f>
        <v/>
      </c>
      <c r="L638" s="42" t="s">
        <v>79</v>
      </c>
      <c r="M638" s="42" t="s">
        <v>79</v>
      </c>
    </row>
    <row r="639">
      <c r="A639" s="30"/>
      <c r="B639" s="37" t="s">
        <v>79</v>
      </c>
      <c r="E639" s="21" t="s">
        <v>79</v>
      </c>
      <c r="F639" s="40"/>
      <c r="G639" s="4"/>
      <c r="H639" s="4"/>
      <c r="K639" s="41" t="str">
        <f>IFERROR(__xludf.DUMMYFUNCTION("""COMPUTED_VALUE"""),"")</f>
        <v/>
      </c>
      <c r="L639" s="42" t="s">
        <v>79</v>
      </c>
      <c r="M639" s="42" t="s">
        <v>79</v>
      </c>
    </row>
    <row r="640">
      <c r="A640" s="30"/>
      <c r="B640" s="37" t="s">
        <v>79</v>
      </c>
      <c r="E640" s="21" t="s">
        <v>79</v>
      </c>
      <c r="F640" s="40"/>
      <c r="G640" s="4"/>
      <c r="H640" s="4"/>
      <c r="K640" s="41" t="str">
        <f>IFERROR(__xludf.DUMMYFUNCTION("""COMPUTED_VALUE"""),"")</f>
        <v/>
      </c>
      <c r="L640" s="42" t="s">
        <v>79</v>
      </c>
      <c r="M640" s="42" t="s">
        <v>79</v>
      </c>
    </row>
    <row r="641">
      <c r="A641" s="30"/>
      <c r="B641" s="37" t="s">
        <v>79</v>
      </c>
      <c r="E641" s="21" t="s">
        <v>79</v>
      </c>
      <c r="F641" s="40"/>
      <c r="G641" s="4"/>
      <c r="H641" s="4"/>
      <c r="K641" s="41" t="str">
        <f>IFERROR(__xludf.DUMMYFUNCTION("""COMPUTED_VALUE"""),"")</f>
        <v/>
      </c>
      <c r="L641" s="42" t="s">
        <v>79</v>
      </c>
      <c r="M641" s="42" t="s">
        <v>79</v>
      </c>
    </row>
    <row r="642">
      <c r="A642" s="30"/>
      <c r="B642" s="37" t="s">
        <v>79</v>
      </c>
      <c r="E642" s="21" t="s">
        <v>79</v>
      </c>
      <c r="F642" s="40"/>
      <c r="G642" s="4"/>
      <c r="H642" s="4"/>
      <c r="K642" s="41" t="str">
        <f>IFERROR(__xludf.DUMMYFUNCTION("""COMPUTED_VALUE"""),"")</f>
        <v/>
      </c>
      <c r="L642" s="42" t="s">
        <v>79</v>
      </c>
      <c r="M642" s="42" t="s">
        <v>79</v>
      </c>
    </row>
    <row r="643">
      <c r="A643" s="30"/>
      <c r="B643" s="37" t="s">
        <v>79</v>
      </c>
      <c r="E643" s="21" t="s">
        <v>79</v>
      </c>
      <c r="F643" s="40"/>
      <c r="G643" s="4"/>
      <c r="H643" s="4"/>
      <c r="K643" s="41" t="str">
        <f>IFERROR(__xludf.DUMMYFUNCTION("""COMPUTED_VALUE"""),"")</f>
        <v/>
      </c>
      <c r="L643" s="42" t="s">
        <v>79</v>
      </c>
      <c r="M643" s="42" t="s">
        <v>79</v>
      </c>
    </row>
    <row r="644">
      <c r="A644" s="30"/>
      <c r="B644" s="37" t="s">
        <v>79</v>
      </c>
      <c r="E644" s="21" t="s">
        <v>79</v>
      </c>
      <c r="F644" s="40"/>
      <c r="G644" s="4"/>
      <c r="H644" s="4"/>
      <c r="K644" s="41" t="str">
        <f>IFERROR(__xludf.DUMMYFUNCTION("""COMPUTED_VALUE"""),"")</f>
        <v/>
      </c>
      <c r="L644" s="42" t="s">
        <v>79</v>
      </c>
      <c r="M644" s="42" t="s">
        <v>79</v>
      </c>
    </row>
    <row r="645">
      <c r="A645" s="30"/>
      <c r="B645" s="37" t="s">
        <v>79</v>
      </c>
      <c r="E645" s="21" t="s">
        <v>79</v>
      </c>
      <c r="F645" s="40"/>
      <c r="G645" s="4"/>
      <c r="H645" s="4"/>
      <c r="K645" s="41" t="str">
        <f>IFERROR(__xludf.DUMMYFUNCTION("""COMPUTED_VALUE"""),"")</f>
        <v/>
      </c>
      <c r="L645" s="42" t="s">
        <v>79</v>
      </c>
      <c r="M645" s="42" t="s">
        <v>79</v>
      </c>
    </row>
    <row r="646">
      <c r="A646" s="30"/>
      <c r="B646" s="37" t="s">
        <v>79</v>
      </c>
      <c r="E646" s="21" t="s">
        <v>79</v>
      </c>
      <c r="F646" s="40"/>
      <c r="G646" s="4"/>
      <c r="H646" s="4"/>
      <c r="K646" s="41" t="str">
        <f>IFERROR(__xludf.DUMMYFUNCTION("""COMPUTED_VALUE"""),"")</f>
        <v/>
      </c>
      <c r="L646" s="42" t="s">
        <v>79</v>
      </c>
      <c r="M646" s="42" t="s">
        <v>79</v>
      </c>
    </row>
    <row r="647">
      <c r="A647" s="30"/>
      <c r="B647" s="37" t="s">
        <v>79</v>
      </c>
      <c r="E647" s="21" t="s">
        <v>79</v>
      </c>
      <c r="F647" s="40"/>
      <c r="G647" s="4"/>
      <c r="H647" s="4"/>
      <c r="K647" s="41" t="str">
        <f>IFERROR(__xludf.DUMMYFUNCTION("""COMPUTED_VALUE"""),"")</f>
        <v/>
      </c>
      <c r="L647" s="42" t="s">
        <v>79</v>
      </c>
      <c r="M647" s="42" t="s">
        <v>79</v>
      </c>
    </row>
    <row r="648">
      <c r="A648" s="30"/>
      <c r="B648" s="37" t="s">
        <v>79</v>
      </c>
      <c r="E648" s="21" t="s">
        <v>79</v>
      </c>
      <c r="F648" s="40"/>
      <c r="G648" s="4"/>
      <c r="H648" s="4"/>
      <c r="K648" s="41" t="str">
        <f>IFERROR(__xludf.DUMMYFUNCTION("""COMPUTED_VALUE"""),"")</f>
        <v/>
      </c>
      <c r="L648" s="42" t="s">
        <v>79</v>
      </c>
      <c r="M648" s="42" t="s">
        <v>79</v>
      </c>
    </row>
    <row r="649">
      <c r="A649" s="30"/>
      <c r="B649" s="37" t="s">
        <v>79</v>
      </c>
      <c r="E649" s="21" t="s">
        <v>79</v>
      </c>
      <c r="F649" s="40"/>
      <c r="G649" s="4"/>
      <c r="H649" s="4"/>
      <c r="K649" s="41" t="str">
        <f>IFERROR(__xludf.DUMMYFUNCTION("""COMPUTED_VALUE"""),"")</f>
        <v/>
      </c>
      <c r="L649" s="42" t="s">
        <v>79</v>
      </c>
      <c r="M649" s="42" t="s">
        <v>79</v>
      </c>
    </row>
    <row r="650">
      <c r="A650" s="30"/>
      <c r="B650" s="37" t="s">
        <v>79</v>
      </c>
      <c r="E650" s="21" t="s">
        <v>79</v>
      </c>
      <c r="F650" s="40"/>
      <c r="G650" s="4"/>
      <c r="H650" s="4"/>
      <c r="K650" s="41" t="str">
        <f>IFERROR(__xludf.DUMMYFUNCTION("""COMPUTED_VALUE"""),"")</f>
        <v/>
      </c>
      <c r="L650" s="42" t="s">
        <v>79</v>
      </c>
      <c r="M650" s="42" t="s">
        <v>79</v>
      </c>
    </row>
    <row r="651">
      <c r="A651" s="30"/>
      <c r="B651" s="37" t="s">
        <v>79</v>
      </c>
      <c r="E651" s="21" t="s">
        <v>79</v>
      </c>
      <c r="F651" s="40"/>
      <c r="G651" s="4"/>
      <c r="H651" s="4"/>
      <c r="K651" s="41" t="str">
        <f>IFERROR(__xludf.DUMMYFUNCTION("""COMPUTED_VALUE"""),"")</f>
        <v/>
      </c>
      <c r="L651" s="42" t="s">
        <v>79</v>
      </c>
      <c r="M651" s="42" t="s">
        <v>79</v>
      </c>
    </row>
    <row r="652">
      <c r="A652" s="30"/>
      <c r="B652" s="37" t="s">
        <v>79</v>
      </c>
      <c r="E652" s="21" t="s">
        <v>79</v>
      </c>
      <c r="F652" s="40"/>
      <c r="G652" s="4"/>
      <c r="H652" s="4"/>
      <c r="K652" s="41" t="str">
        <f>IFERROR(__xludf.DUMMYFUNCTION("""COMPUTED_VALUE"""),"")</f>
        <v/>
      </c>
      <c r="L652" s="42" t="s">
        <v>79</v>
      </c>
      <c r="M652" s="42" t="s">
        <v>79</v>
      </c>
    </row>
    <row r="653">
      <c r="A653" s="30"/>
      <c r="B653" s="37" t="s">
        <v>79</v>
      </c>
      <c r="E653" s="21" t="s">
        <v>79</v>
      </c>
      <c r="F653" s="40"/>
      <c r="G653" s="4"/>
      <c r="H653" s="4"/>
      <c r="K653" s="41" t="str">
        <f>IFERROR(__xludf.DUMMYFUNCTION("""COMPUTED_VALUE"""),"")</f>
        <v/>
      </c>
      <c r="L653" s="42" t="s">
        <v>79</v>
      </c>
      <c r="M653" s="42" t="s">
        <v>79</v>
      </c>
    </row>
    <row r="654">
      <c r="A654" s="30"/>
      <c r="B654" s="37" t="s">
        <v>79</v>
      </c>
      <c r="E654" s="21" t="s">
        <v>79</v>
      </c>
      <c r="F654" s="40"/>
      <c r="G654" s="4"/>
      <c r="H654" s="4"/>
      <c r="K654" s="41" t="str">
        <f>IFERROR(__xludf.DUMMYFUNCTION("""COMPUTED_VALUE"""),"")</f>
        <v/>
      </c>
      <c r="L654" s="42" t="s">
        <v>79</v>
      </c>
      <c r="M654" s="42" t="s">
        <v>79</v>
      </c>
    </row>
    <row r="655">
      <c r="A655" s="30"/>
      <c r="B655" s="37" t="s">
        <v>79</v>
      </c>
      <c r="E655" s="21" t="s">
        <v>79</v>
      </c>
      <c r="F655" s="40"/>
      <c r="G655" s="4"/>
      <c r="H655" s="4"/>
      <c r="K655" s="41" t="str">
        <f>IFERROR(__xludf.DUMMYFUNCTION("""COMPUTED_VALUE"""),"")</f>
        <v/>
      </c>
      <c r="L655" s="42" t="s">
        <v>79</v>
      </c>
      <c r="M655" s="42" t="s">
        <v>79</v>
      </c>
    </row>
    <row r="656">
      <c r="A656" s="30"/>
      <c r="B656" s="37" t="s">
        <v>79</v>
      </c>
      <c r="E656" s="21" t="s">
        <v>79</v>
      </c>
      <c r="F656" s="40"/>
      <c r="G656" s="4"/>
      <c r="H656" s="4"/>
      <c r="K656" s="41" t="str">
        <f>IFERROR(__xludf.DUMMYFUNCTION("""COMPUTED_VALUE"""),"")</f>
        <v/>
      </c>
      <c r="L656" s="42" t="s">
        <v>79</v>
      </c>
      <c r="M656" s="42" t="s">
        <v>79</v>
      </c>
    </row>
    <row r="657">
      <c r="A657" s="30"/>
      <c r="B657" s="37" t="s">
        <v>79</v>
      </c>
      <c r="E657" s="21" t="s">
        <v>79</v>
      </c>
      <c r="F657" s="40"/>
      <c r="G657" s="4"/>
      <c r="H657" s="4"/>
      <c r="K657" s="41" t="str">
        <f>IFERROR(__xludf.DUMMYFUNCTION("""COMPUTED_VALUE"""),"")</f>
        <v/>
      </c>
      <c r="L657" s="42" t="s">
        <v>79</v>
      </c>
      <c r="M657" s="42" t="s">
        <v>79</v>
      </c>
    </row>
    <row r="658">
      <c r="A658" s="30"/>
      <c r="B658" s="37" t="s">
        <v>79</v>
      </c>
      <c r="E658" s="21" t="s">
        <v>79</v>
      </c>
      <c r="F658" s="40"/>
      <c r="G658" s="4"/>
      <c r="H658" s="4"/>
      <c r="K658" s="41" t="str">
        <f>IFERROR(__xludf.DUMMYFUNCTION("""COMPUTED_VALUE"""),"")</f>
        <v/>
      </c>
      <c r="L658" s="42" t="s">
        <v>79</v>
      </c>
      <c r="M658" s="42" t="s">
        <v>79</v>
      </c>
    </row>
    <row r="659">
      <c r="A659" s="30"/>
      <c r="B659" s="37" t="s">
        <v>79</v>
      </c>
      <c r="E659" s="21" t="s">
        <v>79</v>
      </c>
      <c r="F659" s="40"/>
      <c r="G659" s="4"/>
      <c r="H659" s="4"/>
      <c r="K659" s="41" t="str">
        <f>IFERROR(__xludf.DUMMYFUNCTION("""COMPUTED_VALUE"""),"")</f>
        <v/>
      </c>
      <c r="L659" s="42" t="s">
        <v>79</v>
      </c>
      <c r="M659" s="42" t="s">
        <v>79</v>
      </c>
    </row>
    <row r="660">
      <c r="A660" s="30"/>
      <c r="B660" s="37" t="s">
        <v>79</v>
      </c>
      <c r="E660" s="21" t="s">
        <v>79</v>
      </c>
      <c r="F660" s="40"/>
      <c r="G660" s="4"/>
      <c r="H660" s="4"/>
      <c r="K660" s="41" t="str">
        <f>IFERROR(__xludf.DUMMYFUNCTION("""COMPUTED_VALUE"""),"")</f>
        <v/>
      </c>
      <c r="L660" s="42" t="s">
        <v>79</v>
      </c>
      <c r="M660" s="42" t="s">
        <v>79</v>
      </c>
    </row>
    <row r="661">
      <c r="A661" s="30"/>
      <c r="B661" s="37" t="s">
        <v>79</v>
      </c>
      <c r="E661" s="21" t="s">
        <v>79</v>
      </c>
      <c r="F661" s="40"/>
      <c r="G661" s="4"/>
      <c r="H661" s="4"/>
      <c r="K661" s="41" t="str">
        <f>IFERROR(__xludf.DUMMYFUNCTION("""COMPUTED_VALUE"""),"")</f>
        <v/>
      </c>
      <c r="L661" s="42" t="s">
        <v>79</v>
      </c>
      <c r="M661" s="42" t="s">
        <v>79</v>
      </c>
    </row>
    <row r="662">
      <c r="A662" s="30"/>
      <c r="B662" s="37" t="s">
        <v>79</v>
      </c>
      <c r="E662" s="21" t="s">
        <v>79</v>
      </c>
      <c r="F662" s="40"/>
      <c r="G662" s="4"/>
      <c r="H662" s="4"/>
      <c r="K662" s="41" t="str">
        <f>IFERROR(__xludf.DUMMYFUNCTION("""COMPUTED_VALUE"""),"")</f>
        <v/>
      </c>
      <c r="L662" s="42" t="s">
        <v>79</v>
      </c>
      <c r="M662" s="42" t="s">
        <v>79</v>
      </c>
    </row>
    <row r="663">
      <c r="A663" s="30"/>
      <c r="B663" s="37" t="s">
        <v>79</v>
      </c>
      <c r="E663" s="21" t="s">
        <v>79</v>
      </c>
      <c r="F663" s="40"/>
      <c r="G663" s="4"/>
      <c r="H663" s="4"/>
      <c r="K663" s="41" t="str">
        <f>IFERROR(__xludf.DUMMYFUNCTION("""COMPUTED_VALUE"""),"")</f>
        <v/>
      </c>
      <c r="L663" s="42" t="s">
        <v>79</v>
      </c>
      <c r="M663" s="42" t="s">
        <v>79</v>
      </c>
    </row>
    <row r="664">
      <c r="A664" s="30"/>
      <c r="B664" s="37" t="s">
        <v>79</v>
      </c>
      <c r="E664" s="21" t="s">
        <v>79</v>
      </c>
      <c r="F664" s="40"/>
      <c r="G664" s="4"/>
      <c r="H664" s="4"/>
      <c r="K664" s="41" t="str">
        <f>IFERROR(__xludf.DUMMYFUNCTION("""COMPUTED_VALUE"""),"")</f>
        <v/>
      </c>
      <c r="L664" s="42" t="s">
        <v>79</v>
      </c>
      <c r="M664" s="42" t="s">
        <v>79</v>
      </c>
    </row>
    <row r="665">
      <c r="A665" s="30"/>
      <c r="B665" s="37" t="s">
        <v>79</v>
      </c>
      <c r="E665" s="21" t="s">
        <v>79</v>
      </c>
      <c r="F665" s="40"/>
      <c r="G665" s="4"/>
      <c r="H665" s="4"/>
      <c r="K665" s="41" t="str">
        <f>IFERROR(__xludf.DUMMYFUNCTION("""COMPUTED_VALUE"""),"")</f>
        <v/>
      </c>
      <c r="L665" s="42" t="s">
        <v>79</v>
      </c>
      <c r="M665" s="42" t="s">
        <v>79</v>
      </c>
    </row>
    <row r="666">
      <c r="A666" s="30"/>
      <c r="B666" s="37" t="s">
        <v>79</v>
      </c>
      <c r="E666" s="21" t="s">
        <v>79</v>
      </c>
      <c r="F666" s="40"/>
      <c r="G666" s="4"/>
      <c r="H666" s="4"/>
      <c r="K666" s="41" t="str">
        <f>IFERROR(__xludf.DUMMYFUNCTION("""COMPUTED_VALUE"""),"")</f>
        <v/>
      </c>
      <c r="L666" s="42" t="s">
        <v>79</v>
      </c>
      <c r="M666" s="42" t="s">
        <v>79</v>
      </c>
    </row>
    <row r="667">
      <c r="A667" s="30"/>
      <c r="B667" s="37" t="s">
        <v>79</v>
      </c>
      <c r="E667" s="21" t="s">
        <v>79</v>
      </c>
      <c r="F667" s="40"/>
      <c r="G667" s="4"/>
      <c r="H667" s="4"/>
      <c r="K667" s="41" t="str">
        <f>IFERROR(__xludf.DUMMYFUNCTION("""COMPUTED_VALUE"""),"")</f>
        <v/>
      </c>
      <c r="L667" s="42" t="s">
        <v>79</v>
      </c>
      <c r="M667" s="42" t="s">
        <v>79</v>
      </c>
    </row>
    <row r="668">
      <c r="A668" s="30"/>
      <c r="B668" s="37" t="s">
        <v>79</v>
      </c>
      <c r="E668" s="21" t="s">
        <v>79</v>
      </c>
      <c r="F668" s="40"/>
      <c r="G668" s="4"/>
      <c r="H668" s="4"/>
      <c r="K668" s="41" t="str">
        <f>IFERROR(__xludf.DUMMYFUNCTION("""COMPUTED_VALUE"""),"")</f>
        <v/>
      </c>
      <c r="L668" s="42" t="s">
        <v>79</v>
      </c>
      <c r="M668" s="42" t="s">
        <v>79</v>
      </c>
    </row>
    <row r="669">
      <c r="A669" s="30"/>
      <c r="B669" s="37" t="s">
        <v>79</v>
      </c>
      <c r="E669" s="21" t="s">
        <v>79</v>
      </c>
      <c r="F669" s="40"/>
      <c r="G669" s="4"/>
      <c r="H669" s="4"/>
      <c r="K669" s="41" t="str">
        <f>IFERROR(__xludf.DUMMYFUNCTION("""COMPUTED_VALUE"""),"")</f>
        <v/>
      </c>
      <c r="L669" s="42" t="s">
        <v>79</v>
      </c>
      <c r="M669" s="42" t="s">
        <v>79</v>
      </c>
    </row>
    <row r="670">
      <c r="A670" s="30"/>
      <c r="B670" s="37" t="s">
        <v>79</v>
      </c>
      <c r="E670" s="21" t="s">
        <v>79</v>
      </c>
      <c r="F670" s="40"/>
      <c r="G670" s="4"/>
      <c r="H670" s="4"/>
      <c r="K670" s="41" t="str">
        <f>IFERROR(__xludf.DUMMYFUNCTION("""COMPUTED_VALUE"""),"")</f>
        <v/>
      </c>
      <c r="L670" s="42" t="s">
        <v>79</v>
      </c>
      <c r="M670" s="42" t="s">
        <v>79</v>
      </c>
    </row>
    <row r="671">
      <c r="A671" s="30"/>
      <c r="B671" s="37" t="s">
        <v>79</v>
      </c>
      <c r="E671" s="21" t="s">
        <v>79</v>
      </c>
      <c r="F671" s="40"/>
      <c r="G671" s="4"/>
      <c r="H671" s="4"/>
      <c r="K671" s="41" t="str">
        <f>IFERROR(__xludf.DUMMYFUNCTION("""COMPUTED_VALUE"""),"")</f>
        <v/>
      </c>
      <c r="L671" s="42" t="s">
        <v>79</v>
      </c>
      <c r="M671" s="42" t="s">
        <v>79</v>
      </c>
    </row>
    <row r="672">
      <c r="A672" s="30"/>
      <c r="B672" s="37" t="s">
        <v>79</v>
      </c>
      <c r="E672" s="21" t="s">
        <v>79</v>
      </c>
      <c r="F672" s="40"/>
      <c r="G672" s="4"/>
      <c r="H672" s="4"/>
      <c r="K672" s="41" t="str">
        <f>IFERROR(__xludf.DUMMYFUNCTION("""COMPUTED_VALUE"""),"")</f>
        <v/>
      </c>
      <c r="L672" s="42" t="s">
        <v>79</v>
      </c>
      <c r="M672" s="42" t="s">
        <v>79</v>
      </c>
    </row>
    <row r="673">
      <c r="A673" s="30"/>
      <c r="B673" s="37" t="s">
        <v>79</v>
      </c>
      <c r="E673" s="21" t="s">
        <v>79</v>
      </c>
      <c r="F673" s="40"/>
      <c r="G673" s="4"/>
      <c r="H673" s="4"/>
      <c r="K673" s="41" t="str">
        <f>IFERROR(__xludf.DUMMYFUNCTION("""COMPUTED_VALUE"""),"")</f>
        <v/>
      </c>
      <c r="L673" s="42" t="s">
        <v>79</v>
      </c>
      <c r="M673" s="42" t="s">
        <v>79</v>
      </c>
    </row>
    <row r="674">
      <c r="A674" s="30"/>
      <c r="B674" s="37" t="s">
        <v>79</v>
      </c>
      <c r="E674" s="21" t="s">
        <v>79</v>
      </c>
      <c r="F674" s="40"/>
      <c r="G674" s="4"/>
      <c r="H674" s="4"/>
      <c r="K674" s="41" t="str">
        <f>IFERROR(__xludf.DUMMYFUNCTION("""COMPUTED_VALUE"""),"")</f>
        <v/>
      </c>
      <c r="L674" s="42" t="s">
        <v>79</v>
      </c>
      <c r="M674" s="42" t="s">
        <v>79</v>
      </c>
    </row>
    <row r="675">
      <c r="A675" s="30"/>
      <c r="B675" s="37" t="s">
        <v>79</v>
      </c>
      <c r="E675" s="21" t="s">
        <v>79</v>
      </c>
      <c r="F675" s="40"/>
      <c r="G675" s="4"/>
      <c r="H675" s="4"/>
      <c r="K675" s="41" t="str">
        <f>IFERROR(__xludf.DUMMYFUNCTION("""COMPUTED_VALUE"""),"")</f>
        <v/>
      </c>
      <c r="L675" s="42" t="s">
        <v>79</v>
      </c>
      <c r="M675" s="42" t="s">
        <v>79</v>
      </c>
    </row>
    <row r="676">
      <c r="A676" s="30"/>
      <c r="B676" s="37" t="s">
        <v>79</v>
      </c>
      <c r="E676" s="21" t="s">
        <v>79</v>
      </c>
      <c r="F676" s="40"/>
      <c r="G676" s="4"/>
      <c r="H676" s="4"/>
      <c r="K676" s="41" t="str">
        <f>IFERROR(__xludf.DUMMYFUNCTION("""COMPUTED_VALUE"""),"")</f>
        <v/>
      </c>
      <c r="L676" s="42" t="s">
        <v>79</v>
      </c>
      <c r="M676" s="42" t="s">
        <v>79</v>
      </c>
    </row>
    <row r="677">
      <c r="A677" s="30"/>
      <c r="B677" s="37" t="s">
        <v>79</v>
      </c>
      <c r="E677" s="21" t="s">
        <v>79</v>
      </c>
      <c r="F677" s="40"/>
      <c r="G677" s="4"/>
      <c r="H677" s="4"/>
      <c r="K677" s="41" t="str">
        <f>IFERROR(__xludf.DUMMYFUNCTION("""COMPUTED_VALUE"""),"")</f>
        <v/>
      </c>
      <c r="L677" s="42" t="s">
        <v>79</v>
      </c>
      <c r="M677" s="42" t="s">
        <v>79</v>
      </c>
    </row>
    <row r="678">
      <c r="A678" s="30"/>
      <c r="B678" s="37" t="s">
        <v>79</v>
      </c>
      <c r="E678" s="21" t="s">
        <v>79</v>
      </c>
      <c r="F678" s="40"/>
      <c r="G678" s="4"/>
      <c r="H678" s="4"/>
      <c r="K678" s="41" t="str">
        <f>IFERROR(__xludf.DUMMYFUNCTION("""COMPUTED_VALUE"""),"")</f>
        <v/>
      </c>
      <c r="L678" s="42" t="s">
        <v>79</v>
      </c>
      <c r="M678" s="42" t="s">
        <v>79</v>
      </c>
    </row>
    <row r="679">
      <c r="A679" s="30"/>
      <c r="B679" s="37" t="s">
        <v>79</v>
      </c>
      <c r="E679" s="21" t="s">
        <v>79</v>
      </c>
      <c r="F679" s="40"/>
      <c r="G679" s="4"/>
      <c r="H679" s="4"/>
      <c r="K679" s="41" t="str">
        <f>IFERROR(__xludf.DUMMYFUNCTION("""COMPUTED_VALUE"""),"")</f>
        <v/>
      </c>
      <c r="L679" s="42" t="s">
        <v>79</v>
      </c>
      <c r="M679" s="42" t="s">
        <v>79</v>
      </c>
    </row>
    <row r="680">
      <c r="A680" s="30"/>
      <c r="B680" s="37" t="s">
        <v>79</v>
      </c>
      <c r="E680" s="21" t="s">
        <v>79</v>
      </c>
      <c r="F680" s="40"/>
      <c r="G680" s="4"/>
      <c r="H680" s="4"/>
      <c r="K680" s="41" t="str">
        <f>IFERROR(__xludf.DUMMYFUNCTION("""COMPUTED_VALUE"""),"")</f>
        <v/>
      </c>
      <c r="L680" s="42" t="s">
        <v>79</v>
      </c>
      <c r="M680" s="42" t="s">
        <v>79</v>
      </c>
    </row>
    <row r="681">
      <c r="A681" s="30"/>
      <c r="B681" s="37" t="s">
        <v>79</v>
      </c>
      <c r="E681" s="21" t="s">
        <v>79</v>
      </c>
      <c r="F681" s="40"/>
      <c r="G681" s="4"/>
      <c r="H681" s="4"/>
      <c r="K681" s="41" t="str">
        <f>IFERROR(__xludf.DUMMYFUNCTION("""COMPUTED_VALUE"""),"")</f>
        <v/>
      </c>
      <c r="L681" s="42" t="s">
        <v>79</v>
      </c>
      <c r="M681" s="42" t="s">
        <v>79</v>
      </c>
    </row>
    <row r="682">
      <c r="A682" s="30"/>
      <c r="B682" s="37" t="s">
        <v>79</v>
      </c>
      <c r="E682" s="21" t="s">
        <v>79</v>
      </c>
      <c r="F682" s="40"/>
      <c r="G682" s="4"/>
      <c r="H682" s="4"/>
      <c r="K682" s="41" t="str">
        <f>IFERROR(__xludf.DUMMYFUNCTION("""COMPUTED_VALUE"""),"")</f>
        <v/>
      </c>
      <c r="L682" s="42" t="s">
        <v>79</v>
      </c>
      <c r="M682" s="42" t="s">
        <v>79</v>
      </c>
    </row>
    <row r="683">
      <c r="A683" s="30"/>
      <c r="B683" s="37" t="s">
        <v>79</v>
      </c>
      <c r="E683" s="21" t="s">
        <v>79</v>
      </c>
      <c r="F683" s="40"/>
      <c r="G683" s="4"/>
      <c r="H683" s="4"/>
      <c r="K683" s="41" t="str">
        <f>IFERROR(__xludf.DUMMYFUNCTION("""COMPUTED_VALUE"""),"")</f>
        <v/>
      </c>
      <c r="L683" s="42" t="s">
        <v>79</v>
      </c>
      <c r="M683" s="42" t="s">
        <v>79</v>
      </c>
    </row>
    <row r="684">
      <c r="A684" s="30"/>
      <c r="B684" s="37" t="s">
        <v>79</v>
      </c>
      <c r="E684" s="21" t="s">
        <v>79</v>
      </c>
      <c r="F684" s="40"/>
      <c r="G684" s="4"/>
      <c r="H684" s="4"/>
      <c r="K684" s="41" t="str">
        <f>IFERROR(__xludf.DUMMYFUNCTION("""COMPUTED_VALUE"""),"")</f>
        <v/>
      </c>
      <c r="L684" s="42" t="s">
        <v>79</v>
      </c>
      <c r="M684" s="42" t="s">
        <v>79</v>
      </c>
    </row>
    <row r="685">
      <c r="A685" s="30"/>
      <c r="B685" s="37" t="s">
        <v>79</v>
      </c>
      <c r="E685" s="21" t="s">
        <v>79</v>
      </c>
      <c r="F685" s="40"/>
      <c r="G685" s="4"/>
      <c r="H685" s="4"/>
      <c r="K685" s="41" t="str">
        <f>IFERROR(__xludf.DUMMYFUNCTION("""COMPUTED_VALUE"""),"")</f>
        <v/>
      </c>
      <c r="L685" s="42" t="s">
        <v>79</v>
      </c>
      <c r="M685" s="42" t="s">
        <v>79</v>
      </c>
    </row>
    <row r="686">
      <c r="A686" s="30"/>
      <c r="B686" s="37" t="s">
        <v>79</v>
      </c>
      <c r="E686" s="21" t="s">
        <v>79</v>
      </c>
      <c r="F686" s="40"/>
      <c r="G686" s="4"/>
      <c r="H686" s="4"/>
      <c r="K686" s="41" t="str">
        <f>IFERROR(__xludf.DUMMYFUNCTION("""COMPUTED_VALUE"""),"")</f>
        <v/>
      </c>
      <c r="L686" s="42" t="s">
        <v>79</v>
      </c>
      <c r="M686" s="42" t="s">
        <v>79</v>
      </c>
    </row>
    <row r="687">
      <c r="A687" s="30"/>
      <c r="B687" s="37" t="s">
        <v>79</v>
      </c>
      <c r="E687" s="21" t="s">
        <v>79</v>
      </c>
      <c r="F687" s="40"/>
      <c r="G687" s="4"/>
      <c r="H687" s="4"/>
      <c r="K687" s="41" t="str">
        <f>IFERROR(__xludf.DUMMYFUNCTION("""COMPUTED_VALUE"""),"")</f>
        <v/>
      </c>
      <c r="L687" s="42" t="s">
        <v>79</v>
      </c>
      <c r="M687" s="42" t="s">
        <v>79</v>
      </c>
    </row>
    <row r="688">
      <c r="A688" s="30"/>
      <c r="B688" s="37" t="s">
        <v>79</v>
      </c>
      <c r="E688" s="21" t="s">
        <v>79</v>
      </c>
      <c r="F688" s="40"/>
      <c r="G688" s="4"/>
      <c r="H688" s="4"/>
      <c r="K688" s="41" t="str">
        <f>IFERROR(__xludf.DUMMYFUNCTION("""COMPUTED_VALUE"""),"")</f>
        <v/>
      </c>
      <c r="L688" s="42" t="s">
        <v>79</v>
      </c>
      <c r="M688" s="42" t="s">
        <v>79</v>
      </c>
    </row>
    <row r="689">
      <c r="A689" s="30"/>
      <c r="B689" s="37" t="s">
        <v>79</v>
      </c>
      <c r="E689" s="21" t="s">
        <v>79</v>
      </c>
      <c r="F689" s="40"/>
      <c r="G689" s="4"/>
      <c r="H689" s="4"/>
      <c r="K689" s="41" t="str">
        <f>IFERROR(__xludf.DUMMYFUNCTION("""COMPUTED_VALUE"""),"")</f>
        <v/>
      </c>
      <c r="L689" s="42" t="s">
        <v>79</v>
      </c>
      <c r="M689" s="42" t="s">
        <v>79</v>
      </c>
    </row>
    <row r="690">
      <c r="A690" s="30"/>
      <c r="B690" s="37" t="s">
        <v>79</v>
      </c>
      <c r="E690" s="21" t="s">
        <v>79</v>
      </c>
      <c r="F690" s="40"/>
      <c r="G690" s="4"/>
      <c r="H690" s="4"/>
      <c r="K690" s="41" t="str">
        <f>IFERROR(__xludf.DUMMYFUNCTION("""COMPUTED_VALUE"""),"")</f>
        <v/>
      </c>
      <c r="L690" s="42" t="s">
        <v>79</v>
      </c>
      <c r="M690" s="42" t="s">
        <v>79</v>
      </c>
    </row>
    <row r="691">
      <c r="A691" s="30"/>
      <c r="B691" s="37" t="s">
        <v>79</v>
      </c>
      <c r="E691" s="21" t="s">
        <v>79</v>
      </c>
      <c r="F691" s="40"/>
      <c r="G691" s="4"/>
      <c r="H691" s="4"/>
      <c r="K691" s="41" t="str">
        <f>IFERROR(__xludf.DUMMYFUNCTION("""COMPUTED_VALUE"""),"")</f>
        <v/>
      </c>
      <c r="L691" s="42" t="s">
        <v>79</v>
      </c>
      <c r="M691" s="42" t="s">
        <v>79</v>
      </c>
    </row>
    <row r="692">
      <c r="A692" s="30"/>
      <c r="B692" s="37" t="s">
        <v>79</v>
      </c>
      <c r="E692" s="21" t="s">
        <v>79</v>
      </c>
      <c r="F692" s="40"/>
      <c r="G692" s="4"/>
      <c r="H692" s="4"/>
      <c r="K692" s="41" t="str">
        <f>IFERROR(__xludf.DUMMYFUNCTION("""COMPUTED_VALUE"""),"")</f>
        <v/>
      </c>
      <c r="L692" s="42" t="s">
        <v>79</v>
      </c>
      <c r="M692" s="42" t="s">
        <v>79</v>
      </c>
    </row>
    <row r="693">
      <c r="A693" s="30"/>
      <c r="B693" s="37" t="s">
        <v>79</v>
      </c>
      <c r="E693" s="21" t="s">
        <v>79</v>
      </c>
      <c r="F693" s="40"/>
      <c r="G693" s="4"/>
      <c r="H693" s="4"/>
      <c r="K693" s="41" t="str">
        <f>IFERROR(__xludf.DUMMYFUNCTION("""COMPUTED_VALUE"""),"")</f>
        <v/>
      </c>
      <c r="L693" s="42" t="s">
        <v>79</v>
      </c>
      <c r="M693" s="42" t="s">
        <v>79</v>
      </c>
    </row>
    <row r="694">
      <c r="A694" s="30"/>
      <c r="B694" s="37" t="s">
        <v>79</v>
      </c>
      <c r="E694" s="21" t="s">
        <v>79</v>
      </c>
      <c r="F694" s="40"/>
      <c r="G694" s="4"/>
      <c r="H694" s="4"/>
      <c r="K694" s="41" t="str">
        <f>IFERROR(__xludf.DUMMYFUNCTION("""COMPUTED_VALUE"""),"")</f>
        <v/>
      </c>
      <c r="L694" s="42" t="s">
        <v>79</v>
      </c>
      <c r="M694" s="42" t="s">
        <v>79</v>
      </c>
    </row>
    <row r="695">
      <c r="A695" s="30"/>
      <c r="B695" s="37" t="s">
        <v>79</v>
      </c>
      <c r="E695" s="21" t="s">
        <v>79</v>
      </c>
      <c r="F695" s="40"/>
      <c r="G695" s="4"/>
      <c r="H695" s="4"/>
      <c r="K695" s="41" t="str">
        <f>IFERROR(__xludf.DUMMYFUNCTION("""COMPUTED_VALUE"""),"")</f>
        <v/>
      </c>
      <c r="L695" s="42" t="s">
        <v>79</v>
      </c>
      <c r="M695" s="42" t="s">
        <v>79</v>
      </c>
    </row>
    <row r="696">
      <c r="A696" s="30"/>
      <c r="B696" s="37" t="s">
        <v>79</v>
      </c>
      <c r="E696" s="21" t="s">
        <v>79</v>
      </c>
      <c r="F696" s="40"/>
      <c r="G696" s="4"/>
      <c r="H696" s="4"/>
      <c r="K696" s="41" t="str">
        <f>IFERROR(__xludf.DUMMYFUNCTION("""COMPUTED_VALUE"""),"")</f>
        <v/>
      </c>
      <c r="L696" s="42" t="s">
        <v>79</v>
      </c>
      <c r="M696" s="42" t="s">
        <v>79</v>
      </c>
    </row>
    <row r="697">
      <c r="A697" s="30"/>
      <c r="B697" s="37" t="s">
        <v>79</v>
      </c>
      <c r="E697" s="21" t="s">
        <v>79</v>
      </c>
      <c r="F697" s="40"/>
      <c r="G697" s="4"/>
      <c r="H697" s="4"/>
      <c r="K697" s="41" t="str">
        <f>IFERROR(__xludf.DUMMYFUNCTION("""COMPUTED_VALUE"""),"")</f>
        <v/>
      </c>
      <c r="L697" s="42" t="s">
        <v>79</v>
      </c>
      <c r="M697" s="42" t="s">
        <v>79</v>
      </c>
    </row>
    <row r="698">
      <c r="A698" s="30"/>
      <c r="B698" s="37" t="s">
        <v>79</v>
      </c>
      <c r="E698" s="21" t="s">
        <v>79</v>
      </c>
      <c r="F698" s="40"/>
      <c r="G698" s="4"/>
      <c r="H698" s="4"/>
      <c r="K698" s="41" t="str">
        <f>IFERROR(__xludf.DUMMYFUNCTION("""COMPUTED_VALUE"""),"")</f>
        <v/>
      </c>
      <c r="L698" s="42" t="s">
        <v>79</v>
      </c>
      <c r="M698" s="42" t="s">
        <v>79</v>
      </c>
    </row>
    <row r="699">
      <c r="A699" s="30"/>
      <c r="B699" s="37" t="s">
        <v>79</v>
      </c>
      <c r="E699" s="21" t="s">
        <v>79</v>
      </c>
      <c r="F699" s="40"/>
      <c r="G699" s="4"/>
      <c r="H699" s="4"/>
      <c r="K699" s="41" t="str">
        <f>IFERROR(__xludf.DUMMYFUNCTION("""COMPUTED_VALUE"""),"")</f>
        <v/>
      </c>
      <c r="L699" s="42" t="s">
        <v>79</v>
      </c>
      <c r="M699" s="42" t="s">
        <v>79</v>
      </c>
    </row>
    <row r="700">
      <c r="A700" s="30"/>
      <c r="B700" s="37" t="s">
        <v>79</v>
      </c>
      <c r="E700" s="21" t="s">
        <v>79</v>
      </c>
      <c r="F700" s="40"/>
      <c r="G700" s="4"/>
      <c r="H700" s="4"/>
      <c r="K700" s="41" t="str">
        <f>IFERROR(__xludf.DUMMYFUNCTION("""COMPUTED_VALUE"""),"")</f>
        <v/>
      </c>
      <c r="L700" s="42" t="s">
        <v>79</v>
      </c>
      <c r="M700" s="42" t="s">
        <v>79</v>
      </c>
    </row>
    <row r="701">
      <c r="A701" s="30"/>
      <c r="B701" s="37" t="s">
        <v>79</v>
      </c>
      <c r="E701" s="21" t="s">
        <v>79</v>
      </c>
      <c r="F701" s="40"/>
      <c r="G701" s="4"/>
      <c r="H701" s="4"/>
      <c r="K701" s="41" t="str">
        <f>IFERROR(__xludf.DUMMYFUNCTION("""COMPUTED_VALUE"""),"")</f>
        <v/>
      </c>
      <c r="L701" s="42" t="s">
        <v>79</v>
      </c>
      <c r="M701" s="42" t="s">
        <v>79</v>
      </c>
    </row>
    <row r="702">
      <c r="A702" s="30"/>
      <c r="B702" s="37" t="s">
        <v>79</v>
      </c>
      <c r="E702" s="21" t="s">
        <v>79</v>
      </c>
      <c r="F702" s="40"/>
      <c r="G702" s="4"/>
      <c r="H702" s="4"/>
      <c r="K702" s="41" t="str">
        <f>IFERROR(__xludf.DUMMYFUNCTION("""COMPUTED_VALUE"""),"")</f>
        <v/>
      </c>
      <c r="L702" s="42" t="s">
        <v>79</v>
      </c>
      <c r="M702" s="42" t="s">
        <v>79</v>
      </c>
    </row>
    <row r="703">
      <c r="A703" s="30"/>
      <c r="B703" s="37" t="s">
        <v>79</v>
      </c>
      <c r="E703" s="21" t="s">
        <v>79</v>
      </c>
      <c r="F703" s="40"/>
      <c r="G703" s="4"/>
      <c r="H703" s="4"/>
      <c r="K703" s="41" t="str">
        <f>IFERROR(__xludf.DUMMYFUNCTION("""COMPUTED_VALUE"""),"")</f>
        <v/>
      </c>
      <c r="L703" s="42" t="s">
        <v>79</v>
      </c>
      <c r="M703" s="42" t="s">
        <v>79</v>
      </c>
    </row>
    <row r="704">
      <c r="A704" s="30"/>
      <c r="B704" s="37" t="s">
        <v>79</v>
      </c>
      <c r="E704" s="21" t="s">
        <v>79</v>
      </c>
      <c r="F704" s="40"/>
      <c r="G704" s="4"/>
      <c r="H704" s="4"/>
      <c r="K704" s="41" t="str">
        <f>IFERROR(__xludf.DUMMYFUNCTION("""COMPUTED_VALUE"""),"")</f>
        <v/>
      </c>
      <c r="L704" s="42" t="s">
        <v>79</v>
      </c>
      <c r="M704" s="42" t="s">
        <v>79</v>
      </c>
    </row>
    <row r="705">
      <c r="A705" s="30"/>
      <c r="B705" s="37" t="s">
        <v>79</v>
      </c>
      <c r="E705" s="21" t="s">
        <v>79</v>
      </c>
      <c r="F705" s="40"/>
      <c r="G705" s="4"/>
      <c r="H705" s="4"/>
      <c r="K705" s="41" t="str">
        <f>IFERROR(__xludf.DUMMYFUNCTION("""COMPUTED_VALUE"""),"")</f>
        <v/>
      </c>
      <c r="L705" s="42" t="s">
        <v>79</v>
      </c>
      <c r="M705" s="42" t="s">
        <v>79</v>
      </c>
    </row>
    <row r="706">
      <c r="A706" s="30"/>
      <c r="B706" s="37" t="s">
        <v>79</v>
      </c>
      <c r="E706" s="21" t="s">
        <v>79</v>
      </c>
      <c r="F706" s="40"/>
      <c r="G706" s="4"/>
      <c r="H706" s="4"/>
      <c r="K706" s="41" t="str">
        <f>IFERROR(__xludf.DUMMYFUNCTION("""COMPUTED_VALUE"""),"")</f>
        <v/>
      </c>
      <c r="L706" s="42" t="s">
        <v>79</v>
      </c>
      <c r="M706" s="42" t="s">
        <v>79</v>
      </c>
    </row>
    <row r="707">
      <c r="A707" s="30"/>
      <c r="B707" s="37" t="s">
        <v>79</v>
      </c>
      <c r="E707" s="21" t="s">
        <v>79</v>
      </c>
      <c r="F707" s="40"/>
      <c r="G707" s="4"/>
      <c r="H707" s="4"/>
      <c r="K707" s="41" t="str">
        <f>IFERROR(__xludf.DUMMYFUNCTION("""COMPUTED_VALUE"""),"")</f>
        <v/>
      </c>
      <c r="L707" s="42" t="s">
        <v>79</v>
      </c>
      <c r="M707" s="42" t="s">
        <v>79</v>
      </c>
    </row>
    <row r="708">
      <c r="A708" s="30"/>
      <c r="B708" s="37" t="s">
        <v>79</v>
      </c>
      <c r="E708" s="21" t="s">
        <v>79</v>
      </c>
      <c r="F708" s="40"/>
      <c r="G708" s="4"/>
      <c r="H708" s="4"/>
      <c r="K708" s="41" t="str">
        <f>IFERROR(__xludf.DUMMYFUNCTION("""COMPUTED_VALUE"""),"")</f>
        <v/>
      </c>
      <c r="L708" s="42" t="s">
        <v>79</v>
      </c>
      <c r="M708" s="42" t="s">
        <v>79</v>
      </c>
    </row>
    <row r="709">
      <c r="A709" s="30"/>
      <c r="B709" s="37" t="s">
        <v>79</v>
      </c>
      <c r="E709" s="21" t="s">
        <v>79</v>
      </c>
      <c r="F709" s="40"/>
      <c r="G709" s="4"/>
      <c r="H709" s="4"/>
      <c r="K709" s="41" t="str">
        <f>IFERROR(__xludf.DUMMYFUNCTION("""COMPUTED_VALUE"""),"")</f>
        <v/>
      </c>
      <c r="L709" s="42" t="s">
        <v>79</v>
      </c>
      <c r="M709" s="42" t="s">
        <v>79</v>
      </c>
    </row>
    <row r="710">
      <c r="A710" s="30"/>
      <c r="B710" s="37" t="s">
        <v>79</v>
      </c>
      <c r="E710" s="21" t="s">
        <v>79</v>
      </c>
      <c r="F710" s="40"/>
      <c r="G710" s="4"/>
      <c r="H710" s="4"/>
      <c r="K710" s="41" t="str">
        <f>IFERROR(__xludf.DUMMYFUNCTION("""COMPUTED_VALUE"""),"")</f>
        <v/>
      </c>
      <c r="L710" s="42" t="s">
        <v>79</v>
      </c>
      <c r="M710" s="42" t="s">
        <v>79</v>
      </c>
    </row>
    <row r="711">
      <c r="A711" s="30"/>
      <c r="B711" s="37" t="s">
        <v>79</v>
      </c>
      <c r="E711" s="21" t="s">
        <v>79</v>
      </c>
      <c r="F711" s="40"/>
      <c r="G711" s="4"/>
      <c r="H711" s="4"/>
      <c r="K711" s="41" t="str">
        <f>IFERROR(__xludf.DUMMYFUNCTION("""COMPUTED_VALUE"""),"")</f>
        <v/>
      </c>
      <c r="L711" s="42" t="s">
        <v>79</v>
      </c>
      <c r="M711" s="42" t="s">
        <v>79</v>
      </c>
    </row>
    <row r="712">
      <c r="A712" s="30"/>
      <c r="B712" s="37" t="s">
        <v>79</v>
      </c>
      <c r="E712" s="21" t="s">
        <v>79</v>
      </c>
      <c r="F712" s="40"/>
      <c r="G712" s="4"/>
      <c r="H712" s="4"/>
      <c r="K712" s="41" t="str">
        <f>IFERROR(__xludf.DUMMYFUNCTION("""COMPUTED_VALUE"""),"")</f>
        <v/>
      </c>
      <c r="L712" s="42" t="s">
        <v>79</v>
      </c>
      <c r="M712" s="42" t="s">
        <v>79</v>
      </c>
    </row>
    <row r="713">
      <c r="A713" s="30"/>
      <c r="B713" s="37" t="s">
        <v>79</v>
      </c>
      <c r="E713" s="21" t="s">
        <v>79</v>
      </c>
      <c r="F713" s="40"/>
      <c r="G713" s="4"/>
      <c r="H713" s="4"/>
      <c r="K713" s="41" t="str">
        <f>IFERROR(__xludf.DUMMYFUNCTION("""COMPUTED_VALUE"""),"")</f>
        <v/>
      </c>
      <c r="L713" s="42" t="s">
        <v>79</v>
      </c>
      <c r="M713" s="42" t="s">
        <v>79</v>
      </c>
    </row>
    <row r="714">
      <c r="A714" s="30"/>
      <c r="B714" s="37" t="s">
        <v>79</v>
      </c>
      <c r="E714" s="21" t="s">
        <v>79</v>
      </c>
      <c r="F714" s="40"/>
      <c r="G714" s="4"/>
      <c r="H714" s="4"/>
      <c r="K714" s="41" t="str">
        <f>IFERROR(__xludf.DUMMYFUNCTION("""COMPUTED_VALUE"""),"")</f>
        <v/>
      </c>
      <c r="L714" s="42" t="s">
        <v>79</v>
      </c>
      <c r="M714" s="42" t="s">
        <v>79</v>
      </c>
    </row>
    <row r="715">
      <c r="A715" s="30"/>
      <c r="B715" s="37" t="s">
        <v>79</v>
      </c>
      <c r="E715" s="21" t="s">
        <v>79</v>
      </c>
      <c r="F715" s="40"/>
      <c r="G715" s="4"/>
      <c r="H715" s="4"/>
      <c r="K715" s="41" t="str">
        <f>IFERROR(__xludf.DUMMYFUNCTION("""COMPUTED_VALUE"""),"")</f>
        <v/>
      </c>
      <c r="L715" s="42" t="s">
        <v>79</v>
      </c>
      <c r="M715" s="42" t="s">
        <v>79</v>
      </c>
    </row>
    <row r="716">
      <c r="A716" s="30"/>
      <c r="B716" s="37" t="s">
        <v>79</v>
      </c>
      <c r="E716" s="21" t="s">
        <v>79</v>
      </c>
      <c r="F716" s="40"/>
      <c r="G716" s="4"/>
      <c r="H716" s="4"/>
      <c r="K716" s="41" t="str">
        <f>IFERROR(__xludf.DUMMYFUNCTION("""COMPUTED_VALUE"""),"")</f>
        <v/>
      </c>
      <c r="L716" s="42" t="s">
        <v>79</v>
      </c>
      <c r="M716" s="42" t="s">
        <v>79</v>
      </c>
    </row>
    <row r="717">
      <c r="A717" s="30"/>
      <c r="B717" s="37" t="s">
        <v>79</v>
      </c>
      <c r="E717" s="21" t="s">
        <v>79</v>
      </c>
      <c r="F717" s="40"/>
      <c r="G717" s="4"/>
      <c r="H717" s="4"/>
      <c r="K717" s="41" t="str">
        <f>IFERROR(__xludf.DUMMYFUNCTION("""COMPUTED_VALUE"""),"")</f>
        <v/>
      </c>
      <c r="L717" s="42" t="s">
        <v>79</v>
      </c>
      <c r="M717" s="42" t="s">
        <v>79</v>
      </c>
    </row>
    <row r="718">
      <c r="A718" s="30"/>
      <c r="B718" s="37" t="s">
        <v>79</v>
      </c>
      <c r="E718" s="21" t="s">
        <v>79</v>
      </c>
      <c r="F718" s="40"/>
      <c r="G718" s="4"/>
      <c r="H718" s="4"/>
      <c r="K718" s="41" t="str">
        <f>IFERROR(__xludf.DUMMYFUNCTION("""COMPUTED_VALUE"""),"")</f>
        <v/>
      </c>
      <c r="L718" s="42" t="s">
        <v>79</v>
      </c>
      <c r="M718" s="42" t="s">
        <v>79</v>
      </c>
    </row>
    <row r="719">
      <c r="A719" s="30"/>
      <c r="B719" s="37" t="s">
        <v>79</v>
      </c>
      <c r="E719" s="21" t="s">
        <v>79</v>
      </c>
      <c r="F719" s="40"/>
      <c r="G719" s="4"/>
      <c r="H719" s="4"/>
      <c r="K719" s="41" t="str">
        <f>IFERROR(__xludf.DUMMYFUNCTION("""COMPUTED_VALUE"""),"")</f>
        <v/>
      </c>
      <c r="L719" s="42" t="s">
        <v>79</v>
      </c>
      <c r="M719" s="42" t="s">
        <v>79</v>
      </c>
    </row>
    <row r="720">
      <c r="A720" s="30"/>
      <c r="B720" s="37" t="s">
        <v>79</v>
      </c>
      <c r="E720" s="21" t="s">
        <v>79</v>
      </c>
      <c r="F720" s="40"/>
      <c r="G720" s="4"/>
      <c r="H720" s="4"/>
      <c r="K720" s="41" t="str">
        <f>IFERROR(__xludf.DUMMYFUNCTION("""COMPUTED_VALUE"""),"")</f>
        <v/>
      </c>
      <c r="L720" s="42" t="s">
        <v>79</v>
      </c>
      <c r="M720" s="42" t="s">
        <v>79</v>
      </c>
    </row>
    <row r="721">
      <c r="A721" s="30"/>
      <c r="B721" s="37" t="s">
        <v>79</v>
      </c>
      <c r="E721" s="21" t="s">
        <v>79</v>
      </c>
      <c r="F721" s="40"/>
      <c r="G721" s="4"/>
      <c r="H721" s="4"/>
      <c r="K721" s="41" t="str">
        <f>IFERROR(__xludf.DUMMYFUNCTION("""COMPUTED_VALUE"""),"")</f>
        <v/>
      </c>
      <c r="L721" s="42" t="s">
        <v>79</v>
      </c>
      <c r="M721" s="42" t="s">
        <v>79</v>
      </c>
    </row>
    <row r="722">
      <c r="A722" s="30"/>
      <c r="B722" s="37" t="s">
        <v>79</v>
      </c>
      <c r="E722" s="21" t="s">
        <v>79</v>
      </c>
      <c r="F722" s="40"/>
      <c r="G722" s="4"/>
      <c r="H722" s="4"/>
      <c r="K722" s="41" t="str">
        <f>IFERROR(__xludf.DUMMYFUNCTION("""COMPUTED_VALUE"""),"")</f>
        <v/>
      </c>
      <c r="L722" s="42" t="s">
        <v>79</v>
      </c>
      <c r="M722" s="42" t="s">
        <v>79</v>
      </c>
    </row>
    <row r="723">
      <c r="A723" s="30"/>
      <c r="B723" s="37" t="s">
        <v>79</v>
      </c>
      <c r="E723" s="21" t="s">
        <v>79</v>
      </c>
      <c r="F723" s="40"/>
      <c r="G723" s="4"/>
      <c r="H723" s="4"/>
      <c r="K723" s="41" t="str">
        <f>IFERROR(__xludf.DUMMYFUNCTION("""COMPUTED_VALUE"""),"")</f>
        <v/>
      </c>
      <c r="L723" s="42" t="s">
        <v>79</v>
      </c>
      <c r="M723" s="42" t="s">
        <v>79</v>
      </c>
    </row>
    <row r="724">
      <c r="A724" s="30"/>
      <c r="B724" s="37" t="s">
        <v>79</v>
      </c>
      <c r="E724" s="21" t="s">
        <v>79</v>
      </c>
      <c r="F724" s="40"/>
      <c r="G724" s="4"/>
      <c r="H724" s="4"/>
      <c r="K724" s="41" t="str">
        <f>IFERROR(__xludf.DUMMYFUNCTION("""COMPUTED_VALUE"""),"")</f>
        <v/>
      </c>
      <c r="L724" s="42" t="s">
        <v>79</v>
      </c>
      <c r="M724" s="42" t="s">
        <v>79</v>
      </c>
    </row>
    <row r="725">
      <c r="A725" s="30"/>
      <c r="B725" s="37" t="s">
        <v>79</v>
      </c>
      <c r="E725" s="21" t="s">
        <v>79</v>
      </c>
      <c r="F725" s="40"/>
      <c r="G725" s="4"/>
      <c r="H725" s="4"/>
      <c r="K725" s="41" t="str">
        <f>IFERROR(__xludf.DUMMYFUNCTION("""COMPUTED_VALUE"""),"")</f>
        <v/>
      </c>
      <c r="L725" s="42" t="s">
        <v>79</v>
      </c>
      <c r="M725" s="42" t="s">
        <v>79</v>
      </c>
    </row>
    <row r="726">
      <c r="A726" s="30"/>
      <c r="B726" s="37" t="s">
        <v>79</v>
      </c>
      <c r="E726" s="21" t="s">
        <v>79</v>
      </c>
      <c r="F726" s="40"/>
      <c r="G726" s="4"/>
      <c r="H726" s="4"/>
      <c r="K726" s="41" t="str">
        <f>IFERROR(__xludf.DUMMYFUNCTION("""COMPUTED_VALUE"""),"")</f>
        <v/>
      </c>
      <c r="L726" s="42" t="s">
        <v>79</v>
      </c>
      <c r="M726" s="42" t="s">
        <v>79</v>
      </c>
    </row>
    <row r="727">
      <c r="A727" s="30"/>
      <c r="B727" s="37" t="s">
        <v>79</v>
      </c>
      <c r="E727" s="21" t="s">
        <v>79</v>
      </c>
      <c r="F727" s="40"/>
      <c r="G727" s="4"/>
      <c r="H727" s="4"/>
      <c r="K727" s="41" t="str">
        <f>IFERROR(__xludf.DUMMYFUNCTION("""COMPUTED_VALUE"""),"")</f>
        <v/>
      </c>
      <c r="L727" s="42" t="s">
        <v>79</v>
      </c>
      <c r="M727" s="42" t="s">
        <v>79</v>
      </c>
    </row>
    <row r="728">
      <c r="A728" s="30"/>
      <c r="B728" s="37" t="s">
        <v>79</v>
      </c>
      <c r="E728" s="21" t="s">
        <v>79</v>
      </c>
      <c r="F728" s="40"/>
      <c r="G728" s="4"/>
      <c r="H728" s="4"/>
      <c r="K728" s="41" t="str">
        <f>IFERROR(__xludf.DUMMYFUNCTION("""COMPUTED_VALUE"""),"")</f>
        <v/>
      </c>
      <c r="L728" s="42" t="s">
        <v>79</v>
      </c>
      <c r="M728" s="42" t="s">
        <v>79</v>
      </c>
    </row>
    <row r="729">
      <c r="A729" s="30"/>
      <c r="B729" s="37" t="s">
        <v>79</v>
      </c>
      <c r="E729" s="21" t="s">
        <v>79</v>
      </c>
      <c r="F729" s="40"/>
      <c r="G729" s="4"/>
      <c r="H729" s="4"/>
      <c r="K729" s="41" t="str">
        <f>IFERROR(__xludf.DUMMYFUNCTION("""COMPUTED_VALUE"""),"")</f>
        <v/>
      </c>
      <c r="L729" s="42" t="s">
        <v>79</v>
      </c>
      <c r="M729" s="42" t="s">
        <v>79</v>
      </c>
    </row>
    <row r="730">
      <c r="A730" s="30"/>
      <c r="B730" s="37" t="s">
        <v>79</v>
      </c>
      <c r="E730" s="21" t="s">
        <v>79</v>
      </c>
      <c r="F730" s="40"/>
      <c r="G730" s="4"/>
      <c r="H730" s="4"/>
      <c r="K730" s="41" t="str">
        <f>IFERROR(__xludf.DUMMYFUNCTION("""COMPUTED_VALUE"""),"")</f>
        <v/>
      </c>
      <c r="L730" s="42" t="s">
        <v>79</v>
      </c>
      <c r="M730" s="42" t="s">
        <v>79</v>
      </c>
    </row>
    <row r="731">
      <c r="A731" s="30"/>
      <c r="B731" s="37" t="s">
        <v>79</v>
      </c>
      <c r="E731" s="21" t="s">
        <v>79</v>
      </c>
      <c r="F731" s="40"/>
      <c r="G731" s="4"/>
      <c r="H731" s="4"/>
      <c r="K731" s="41" t="str">
        <f>IFERROR(__xludf.DUMMYFUNCTION("""COMPUTED_VALUE"""),"")</f>
        <v/>
      </c>
      <c r="L731" s="42" t="s">
        <v>79</v>
      </c>
      <c r="M731" s="42" t="s">
        <v>79</v>
      </c>
    </row>
    <row r="732">
      <c r="A732" s="30"/>
      <c r="B732" s="37" t="s">
        <v>79</v>
      </c>
      <c r="E732" s="21" t="s">
        <v>79</v>
      </c>
      <c r="F732" s="40"/>
      <c r="G732" s="4"/>
      <c r="H732" s="4"/>
      <c r="K732" s="41" t="str">
        <f>IFERROR(__xludf.DUMMYFUNCTION("""COMPUTED_VALUE"""),"")</f>
        <v/>
      </c>
      <c r="L732" s="42" t="s">
        <v>79</v>
      </c>
      <c r="M732" s="42" t="s">
        <v>79</v>
      </c>
    </row>
    <row r="733">
      <c r="A733" s="30"/>
      <c r="B733" s="37" t="s">
        <v>79</v>
      </c>
      <c r="E733" s="21" t="s">
        <v>79</v>
      </c>
      <c r="F733" s="40"/>
      <c r="G733" s="4"/>
      <c r="H733" s="4"/>
      <c r="K733" s="41" t="str">
        <f>IFERROR(__xludf.DUMMYFUNCTION("""COMPUTED_VALUE"""),"")</f>
        <v/>
      </c>
      <c r="L733" s="42" t="s">
        <v>79</v>
      </c>
      <c r="M733" s="42" t="s">
        <v>79</v>
      </c>
    </row>
    <row r="734">
      <c r="A734" s="30"/>
      <c r="B734" s="37" t="s">
        <v>79</v>
      </c>
      <c r="E734" s="21" t="s">
        <v>79</v>
      </c>
      <c r="F734" s="40"/>
      <c r="G734" s="4"/>
      <c r="H734" s="4"/>
      <c r="K734" s="41" t="str">
        <f>IFERROR(__xludf.DUMMYFUNCTION("""COMPUTED_VALUE"""),"")</f>
        <v/>
      </c>
      <c r="L734" s="42" t="s">
        <v>79</v>
      </c>
      <c r="M734" s="42" t="s">
        <v>79</v>
      </c>
    </row>
    <row r="735">
      <c r="A735" s="30"/>
      <c r="B735" s="37" t="s">
        <v>79</v>
      </c>
      <c r="E735" s="21" t="s">
        <v>79</v>
      </c>
      <c r="F735" s="40"/>
      <c r="G735" s="4"/>
      <c r="H735" s="4"/>
      <c r="K735" s="41" t="str">
        <f>IFERROR(__xludf.DUMMYFUNCTION("""COMPUTED_VALUE"""),"")</f>
        <v/>
      </c>
      <c r="L735" s="42" t="s">
        <v>79</v>
      </c>
      <c r="M735" s="42" t="s">
        <v>79</v>
      </c>
    </row>
    <row r="736">
      <c r="A736" s="30"/>
      <c r="B736" s="37" t="s">
        <v>79</v>
      </c>
      <c r="E736" s="21" t="s">
        <v>79</v>
      </c>
      <c r="F736" s="40"/>
      <c r="G736" s="4"/>
      <c r="H736" s="4"/>
      <c r="K736" s="41" t="str">
        <f>IFERROR(__xludf.DUMMYFUNCTION("""COMPUTED_VALUE"""),"")</f>
        <v/>
      </c>
      <c r="L736" s="42" t="s">
        <v>79</v>
      </c>
      <c r="M736" s="42" t="s">
        <v>79</v>
      </c>
    </row>
    <row r="737">
      <c r="A737" s="30"/>
      <c r="B737" s="37" t="s">
        <v>79</v>
      </c>
      <c r="E737" s="21" t="s">
        <v>79</v>
      </c>
      <c r="F737" s="40"/>
      <c r="G737" s="4"/>
      <c r="H737" s="4"/>
      <c r="K737" s="41" t="str">
        <f>IFERROR(__xludf.DUMMYFUNCTION("""COMPUTED_VALUE"""),"")</f>
        <v/>
      </c>
      <c r="L737" s="42" t="s">
        <v>79</v>
      </c>
      <c r="M737" s="42" t="s">
        <v>79</v>
      </c>
    </row>
    <row r="738">
      <c r="A738" s="30"/>
      <c r="B738" s="37" t="s">
        <v>79</v>
      </c>
      <c r="E738" s="21" t="s">
        <v>79</v>
      </c>
      <c r="F738" s="40"/>
      <c r="G738" s="4"/>
      <c r="H738" s="4"/>
      <c r="K738" s="41" t="str">
        <f>IFERROR(__xludf.DUMMYFUNCTION("""COMPUTED_VALUE"""),"")</f>
        <v/>
      </c>
      <c r="L738" s="42" t="s">
        <v>79</v>
      </c>
      <c r="M738" s="42" t="s">
        <v>79</v>
      </c>
    </row>
    <row r="739">
      <c r="A739" s="30"/>
      <c r="B739" s="37" t="s">
        <v>79</v>
      </c>
      <c r="E739" s="21" t="s">
        <v>79</v>
      </c>
      <c r="F739" s="40"/>
      <c r="G739" s="4"/>
      <c r="H739" s="4"/>
      <c r="K739" s="41" t="str">
        <f>IFERROR(__xludf.DUMMYFUNCTION("""COMPUTED_VALUE"""),"")</f>
        <v/>
      </c>
      <c r="L739" s="42" t="s">
        <v>79</v>
      </c>
      <c r="M739" s="42" t="s">
        <v>79</v>
      </c>
    </row>
    <row r="740">
      <c r="A740" s="30"/>
      <c r="B740" s="37" t="s">
        <v>79</v>
      </c>
      <c r="E740" s="21" t="s">
        <v>79</v>
      </c>
      <c r="F740" s="40"/>
      <c r="G740" s="4"/>
      <c r="H740" s="4"/>
      <c r="K740" s="41" t="str">
        <f>IFERROR(__xludf.DUMMYFUNCTION("""COMPUTED_VALUE"""),"")</f>
        <v/>
      </c>
      <c r="L740" s="42" t="s">
        <v>79</v>
      </c>
      <c r="M740" s="42" t="s">
        <v>79</v>
      </c>
    </row>
    <row r="741">
      <c r="A741" s="30"/>
      <c r="B741" s="37" t="s">
        <v>79</v>
      </c>
      <c r="E741" s="21" t="s">
        <v>79</v>
      </c>
      <c r="F741" s="40"/>
      <c r="G741" s="4"/>
      <c r="H741" s="4"/>
      <c r="K741" s="41" t="str">
        <f>IFERROR(__xludf.DUMMYFUNCTION("""COMPUTED_VALUE"""),"")</f>
        <v/>
      </c>
      <c r="L741" s="42" t="s">
        <v>79</v>
      </c>
      <c r="M741" s="42" t="s">
        <v>79</v>
      </c>
    </row>
    <row r="742">
      <c r="A742" s="30"/>
      <c r="B742" s="37" t="s">
        <v>79</v>
      </c>
      <c r="E742" s="21" t="s">
        <v>79</v>
      </c>
      <c r="F742" s="40"/>
      <c r="G742" s="4"/>
      <c r="H742" s="4"/>
      <c r="K742" s="41" t="str">
        <f>IFERROR(__xludf.DUMMYFUNCTION("""COMPUTED_VALUE"""),"")</f>
        <v/>
      </c>
      <c r="L742" s="42" t="s">
        <v>79</v>
      </c>
      <c r="M742" s="42" t="s">
        <v>79</v>
      </c>
    </row>
    <row r="743">
      <c r="A743" s="30"/>
      <c r="B743" s="37" t="s">
        <v>79</v>
      </c>
      <c r="E743" s="21" t="s">
        <v>79</v>
      </c>
      <c r="F743" s="40"/>
      <c r="G743" s="4"/>
      <c r="H743" s="4"/>
      <c r="K743" s="41" t="str">
        <f>IFERROR(__xludf.DUMMYFUNCTION("""COMPUTED_VALUE"""),"")</f>
        <v/>
      </c>
      <c r="L743" s="42" t="s">
        <v>79</v>
      </c>
      <c r="M743" s="42" t="s">
        <v>79</v>
      </c>
    </row>
    <row r="744">
      <c r="A744" s="30"/>
      <c r="B744" s="37" t="s">
        <v>79</v>
      </c>
      <c r="E744" s="21" t="s">
        <v>79</v>
      </c>
      <c r="F744" s="40"/>
      <c r="G744" s="4"/>
      <c r="H744" s="4"/>
      <c r="K744" s="41" t="str">
        <f>IFERROR(__xludf.DUMMYFUNCTION("""COMPUTED_VALUE"""),"")</f>
        <v/>
      </c>
      <c r="L744" s="42" t="s">
        <v>79</v>
      </c>
      <c r="M744" s="42" t="s">
        <v>79</v>
      </c>
    </row>
    <row r="745">
      <c r="A745" s="30"/>
      <c r="B745" s="37" t="s">
        <v>79</v>
      </c>
      <c r="E745" s="21" t="s">
        <v>79</v>
      </c>
      <c r="F745" s="40"/>
      <c r="G745" s="4"/>
      <c r="H745" s="4"/>
      <c r="K745" s="41" t="str">
        <f>IFERROR(__xludf.DUMMYFUNCTION("""COMPUTED_VALUE"""),"")</f>
        <v/>
      </c>
      <c r="L745" s="42" t="s">
        <v>79</v>
      </c>
      <c r="M745" s="42" t="s">
        <v>79</v>
      </c>
    </row>
    <row r="746">
      <c r="A746" s="30"/>
      <c r="B746" s="37" t="s">
        <v>79</v>
      </c>
      <c r="E746" s="21" t="s">
        <v>79</v>
      </c>
      <c r="F746" s="40"/>
      <c r="G746" s="4"/>
      <c r="H746" s="4"/>
      <c r="K746" s="41" t="str">
        <f>IFERROR(__xludf.DUMMYFUNCTION("""COMPUTED_VALUE"""),"")</f>
        <v/>
      </c>
      <c r="L746" s="42" t="s">
        <v>79</v>
      </c>
      <c r="M746" s="42" t="s">
        <v>79</v>
      </c>
    </row>
    <row r="747">
      <c r="A747" s="30"/>
      <c r="B747" s="37" t="s">
        <v>79</v>
      </c>
      <c r="E747" s="21" t="s">
        <v>79</v>
      </c>
      <c r="F747" s="40"/>
      <c r="G747" s="4"/>
      <c r="H747" s="4"/>
      <c r="K747" s="41" t="str">
        <f>IFERROR(__xludf.DUMMYFUNCTION("""COMPUTED_VALUE"""),"")</f>
        <v/>
      </c>
      <c r="L747" s="42" t="s">
        <v>79</v>
      </c>
      <c r="M747" s="42" t="s">
        <v>79</v>
      </c>
    </row>
    <row r="748">
      <c r="A748" s="30"/>
      <c r="B748" s="37" t="s">
        <v>79</v>
      </c>
      <c r="E748" s="21" t="s">
        <v>79</v>
      </c>
      <c r="F748" s="40"/>
      <c r="G748" s="4"/>
      <c r="H748" s="4"/>
      <c r="K748" s="41" t="str">
        <f>IFERROR(__xludf.DUMMYFUNCTION("""COMPUTED_VALUE"""),"")</f>
        <v/>
      </c>
      <c r="L748" s="42" t="s">
        <v>79</v>
      </c>
      <c r="M748" s="42" t="s">
        <v>79</v>
      </c>
    </row>
    <row r="749">
      <c r="A749" s="30"/>
      <c r="B749" s="37" t="s">
        <v>79</v>
      </c>
      <c r="E749" s="21" t="s">
        <v>79</v>
      </c>
      <c r="F749" s="40"/>
      <c r="G749" s="4"/>
      <c r="H749" s="4"/>
      <c r="K749" s="41" t="str">
        <f>IFERROR(__xludf.DUMMYFUNCTION("""COMPUTED_VALUE"""),"")</f>
        <v/>
      </c>
      <c r="L749" s="42" t="s">
        <v>79</v>
      </c>
      <c r="M749" s="42" t="s">
        <v>79</v>
      </c>
    </row>
    <row r="750">
      <c r="A750" s="30"/>
      <c r="B750" s="37" t="s">
        <v>79</v>
      </c>
      <c r="E750" s="21" t="s">
        <v>79</v>
      </c>
      <c r="F750" s="40"/>
      <c r="G750" s="4"/>
      <c r="H750" s="4"/>
      <c r="K750" s="41" t="str">
        <f>IFERROR(__xludf.DUMMYFUNCTION("""COMPUTED_VALUE"""),"")</f>
        <v/>
      </c>
      <c r="L750" s="42" t="s">
        <v>79</v>
      </c>
      <c r="M750" s="42" t="s">
        <v>79</v>
      </c>
    </row>
    <row r="751">
      <c r="A751" s="30"/>
      <c r="B751" s="37" t="s">
        <v>79</v>
      </c>
      <c r="E751" s="21" t="s">
        <v>79</v>
      </c>
      <c r="F751" s="40"/>
      <c r="G751" s="4"/>
      <c r="H751" s="4"/>
      <c r="K751" s="41" t="str">
        <f>IFERROR(__xludf.DUMMYFUNCTION("""COMPUTED_VALUE"""),"")</f>
        <v/>
      </c>
      <c r="L751" s="42" t="s">
        <v>79</v>
      </c>
      <c r="M751" s="42" t="s">
        <v>79</v>
      </c>
    </row>
    <row r="752">
      <c r="A752" s="30"/>
      <c r="B752" s="37" t="s">
        <v>79</v>
      </c>
      <c r="E752" s="21" t="s">
        <v>79</v>
      </c>
      <c r="F752" s="40"/>
      <c r="G752" s="4"/>
      <c r="H752" s="4"/>
      <c r="K752" s="41" t="str">
        <f>IFERROR(__xludf.DUMMYFUNCTION("""COMPUTED_VALUE"""),"")</f>
        <v/>
      </c>
      <c r="L752" s="42" t="s">
        <v>79</v>
      </c>
      <c r="M752" s="42" t="s">
        <v>79</v>
      </c>
    </row>
    <row r="753">
      <c r="A753" s="30"/>
      <c r="B753" s="37" t="s">
        <v>79</v>
      </c>
      <c r="E753" s="21" t="s">
        <v>79</v>
      </c>
      <c r="F753" s="40"/>
      <c r="G753" s="4"/>
      <c r="H753" s="4"/>
      <c r="K753" s="41" t="str">
        <f>IFERROR(__xludf.DUMMYFUNCTION("""COMPUTED_VALUE"""),"")</f>
        <v/>
      </c>
      <c r="L753" s="42" t="s">
        <v>79</v>
      </c>
      <c r="M753" s="42" t="s">
        <v>79</v>
      </c>
    </row>
    <row r="754">
      <c r="A754" s="30"/>
      <c r="B754" s="37" t="s">
        <v>79</v>
      </c>
      <c r="E754" s="21" t="s">
        <v>79</v>
      </c>
      <c r="F754" s="40"/>
      <c r="G754" s="4"/>
      <c r="H754" s="4"/>
      <c r="K754" s="41" t="str">
        <f>IFERROR(__xludf.DUMMYFUNCTION("""COMPUTED_VALUE"""),"")</f>
        <v/>
      </c>
      <c r="L754" s="42" t="s">
        <v>79</v>
      </c>
      <c r="M754" s="42" t="s">
        <v>79</v>
      </c>
    </row>
    <row r="755">
      <c r="A755" s="30"/>
      <c r="B755" s="37" t="s">
        <v>79</v>
      </c>
      <c r="E755" s="21" t="s">
        <v>79</v>
      </c>
      <c r="F755" s="40"/>
      <c r="G755" s="4"/>
      <c r="H755" s="4"/>
      <c r="K755" s="41" t="str">
        <f>IFERROR(__xludf.DUMMYFUNCTION("""COMPUTED_VALUE"""),"")</f>
        <v/>
      </c>
      <c r="L755" s="42" t="s">
        <v>79</v>
      </c>
      <c r="M755" s="42" t="s">
        <v>79</v>
      </c>
    </row>
    <row r="756">
      <c r="A756" s="30"/>
      <c r="B756" s="37" t="s">
        <v>79</v>
      </c>
      <c r="E756" s="21" t="s">
        <v>79</v>
      </c>
      <c r="F756" s="40"/>
      <c r="G756" s="4"/>
      <c r="H756" s="4"/>
      <c r="K756" s="41" t="str">
        <f>IFERROR(__xludf.DUMMYFUNCTION("""COMPUTED_VALUE"""),"")</f>
        <v/>
      </c>
      <c r="L756" s="42" t="s">
        <v>79</v>
      </c>
      <c r="M756" s="42" t="s">
        <v>79</v>
      </c>
    </row>
    <row r="757">
      <c r="A757" s="30"/>
      <c r="B757" s="37" t="s">
        <v>79</v>
      </c>
      <c r="E757" s="21" t="s">
        <v>79</v>
      </c>
      <c r="F757" s="40"/>
      <c r="G757" s="4"/>
      <c r="H757" s="4"/>
      <c r="K757" s="41" t="str">
        <f>IFERROR(__xludf.DUMMYFUNCTION("""COMPUTED_VALUE"""),"")</f>
        <v/>
      </c>
      <c r="L757" s="42" t="s">
        <v>79</v>
      </c>
      <c r="M757" s="42" t="s">
        <v>79</v>
      </c>
    </row>
    <row r="758">
      <c r="A758" s="30"/>
      <c r="B758" s="37" t="s">
        <v>79</v>
      </c>
      <c r="E758" s="21" t="s">
        <v>79</v>
      </c>
      <c r="F758" s="40"/>
      <c r="G758" s="4"/>
      <c r="H758" s="4"/>
      <c r="K758" s="41" t="str">
        <f>IFERROR(__xludf.DUMMYFUNCTION("""COMPUTED_VALUE"""),"")</f>
        <v/>
      </c>
      <c r="L758" s="42" t="s">
        <v>79</v>
      </c>
      <c r="M758" s="42" t="s">
        <v>79</v>
      </c>
    </row>
    <row r="759">
      <c r="A759" s="30"/>
      <c r="B759" s="37" t="s">
        <v>79</v>
      </c>
      <c r="E759" s="21" t="s">
        <v>79</v>
      </c>
      <c r="F759" s="40"/>
      <c r="G759" s="4"/>
      <c r="H759" s="4"/>
      <c r="K759" s="41" t="str">
        <f>IFERROR(__xludf.DUMMYFUNCTION("""COMPUTED_VALUE"""),"")</f>
        <v/>
      </c>
      <c r="L759" s="42" t="s">
        <v>79</v>
      </c>
      <c r="M759" s="42" t="s">
        <v>79</v>
      </c>
    </row>
    <row r="760">
      <c r="A760" s="30"/>
      <c r="B760" s="37" t="s">
        <v>79</v>
      </c>
      <c r="E760" s="21" t="s">
        <v>79</v>
      </c>
      <c r="F760" s="40"/>
      <c r="G760" s="4"/>
      <c r="H760" s="4"/>
      <c r="K760" s="41" t="str">
        <f>IFERROR(__xludf.DUMMYFUNCTION("""COMPUTED_VALUE"""),"")</f>
        <v/>
      </c>
      <c r="L760" s="42" t="s">
        <v>79</v>
      </c>
      <c r="M760" s="42" t="s">
        <v>79</v>
      </c>
    </row>
    <row r="761">
      <c r="A761" s="30"/>
      <c r="B761" s="37" t="s">
        <v>79</v>
      </c>
      <c r="E761" s="21" t="s">
        <v>79</v>
      </c>
      <c r="F761" s="40"/>
      <c r="G761" s="4"/>
      <c r="H761" s="4"/>
      <c r="K761" s="41" t="str">
        <f>IFERROR(__xludf.DUMMYFUNCTION("""COMPUTED_VALUE"""),"")</f>
        <v/>
      </c>
      <c r="L761" s="42" t="s">
        <v>79</v>
      </c>
      <c r="M761" s="42" t="s">
        <v>79</v>
      </c>
    </row>
    <row r="762">
      <c r="A762" s="30"/>
      <c r="B762" s="37" t="s">
        <v>79</v>
      </c>
      <c r="E762" s="21" t="s">
        <v>79</v>
      </c>
      <c r="F762" s="40"/>
      <c r="G762" s="4"/>
      <c r="H762" s="4"/>
      <c r="K762" s="41" t="str">
        <f>IFERROR(__xludf.DUMMYFUNCTION("""COMPUTED_VALUE"""),"")</f>
        <v/>
      </c>
      <c r="L762" s="42" t="s">
        <v>79</v>
      </c>
      <c r="M762" s="42" t="s">
        <v>79</v>
      </c>
    </row>
    <row r="763">
      <c r="A763" s="30"/>
      <c r="B763" s="37" t="s">
        <v>79</v>
      </c>
      <c r="E763" s="21" t="s">
        <v>79</v>
      </c>
      <c r="F763" s="40"/>
      <c r="G763" s="4"/>
      <c r="H763" s="4"/>
      <c r="K763" s="41" t="str">
        <f>IFERROR(__xludf.DUMMYFUNCTION("""COMPUTED_VALUE"""),"")</f>
        <v/>
      </c>
      <c r="L763" s="42" t="s">
        <v>79</v>
      </c>
      <c r="M763" s="42" t="s">
        <v>79</v>
      </c>
    </row>
    <row r="764">
      <c r="A764" s="30"/>
      <c r="B764" s="37" t="s">
        <v>79</v>
      </c>
      <c r="E764" s="21" t="s">
        <v>79</v>
      </c>
      <c r="F764" s="40"/>
      <c r="G764" s="4"/>
      <c r="H764" s="4"/>
      <c r="K764" s="41" t="str">
        <f>IFERROR(__xludf.DUMMYFUNCTION("""COMPUTED_VALUE"""),"")</f>
        <v/>
      </c>
      <c r="L764" s="42" t="s">
        <v>79</v>
      </c>
      <c r="M764" s="42" t="s">
        <v>79</v>
      </c>
    </row>
    <row r="765">
      <c r="A765" s="30"/>
      <c r="B765" s="37" t="s">
        <v>79</v>
      </c>
      <c r="E765" s="21" t="s">
        <v>79</v>
      </c>
      <c r="F765" s="40"/>
      <c r="G765" s="4"/>
      <c r="H765" s="4"/>
      <c r="K765" s="41" t="str">
        <f>IFERROR(__xludf.DUMMYFUNCTION("""COMPUTED_VALUE"""),"")</f>
        <v/>
      </c>
      <c r="L765" s="42" t="s">
        <v>79</v>
      </c>
      <c r="M765" s="42" t="s">
        <v>79</v>
      </c>
    </row>
    <row r="766">
      <c r="A766" s="30"/>
      <c r="B766" s="37" t="s">
        <v>79</v>
      </c>
      <c r="E766" s="21" t="s">
        <v>79</v>
      </c>
      <c r="F766" s="40"/>
      <c r="G766" s="4"/>
      <c r="H766" s="4"/>
      <c r="K766" s="41" t="str">
        <f>IFERROR(__xludf.DUMMYFUNCTION("""COMPUTED_VALUE"""),"")</f>
        <v/>
      </c>
      <c r="L766" s="42" t="s">
        <v>79</v>
      </c>
      <c r="M766" s="42" t="s">
        <v>79</v>
      </c>
    </row>
    <row r="767">
      <c r="A767" s="30"/>
      <c r="B767" s="37" t="s">
        <v>79</v>
      </c>
      <c r="E767" s="21" t="s">
        <v>79</v>
      </c>
      <c r="F767" s="40"/>
      <c r="G767" s="4"/>
      <c r="H767" s="4"/>
      <c r="K767" s="41" t="str">
        <f>IFERROR(__xludf.DUMMYFUNCTION("""COMPUTED_VALUE"""),"")</f>
        <v/>
      </c>
      <c r="L767" s="42" t="s">
        <v>79</v>
      </c>
      <c r="M767" s="42" t="s">
        <v>79</v>
      </c>
    </row>
    <row r="768">
      <c r="A768" s="30"/>
      <c r="B768" s="37" t="s">
        <v>79</v>
      </c>
      <c r="E768" s="21" t="s">
        <v>79</v>
      </c>
      <c r="F768" s="40"/>
      <c r="G768" s="4"/>
      <c r="H768" s="4"/>
      <c r="K768" s="41" t="str">
        <f>IFERROR(__xludf.DUMMYFUNCTION("""COMPUTED_VALUE"""),"")</f>
        <v/>
      </c>
      <c r="L768" s="42" t="s">
        <v>79</v>
      </c>
      <c r="M768" s="42" t="s">
        <v>79</v>
      </c>
    </row>
    <row r="769">
      <c r="A769" s="30"/>
      <c r="B769" s="37" t="s">
        <v>79</v>
      </c>
      <c r="E769" s="21" t="s">
        <v>79</v>
      </c>
      <c r="F769" s="40"/>
      <c r="G769" s="4"/>
      <c r="H769" s="4"/>
      <c r="K769" s="41" t="str">
        <f>IFERROR(__xludf.DUMMYFUNCTION("""COMPUTED_VALUE"""),"")</f>
        <v/>
      </c>
      <c r="L769" s="42" t="s">
        <v>79</v>
      </c>
      <c r="M769" s="42" t="s">
        <v>79</v>
      </c>
    </row>
    <row r="770">
      <c r="A770" s="30"/>
      <c r="B770" s="37" t="s">
        <v>79</v>
      </c>
      <c r="E770" s="21" t="s">
        <v>79</v>
      </c>
      <c r="F770" s="40"/>
      <c r="G770" s="4"/>
      <c r="H770" s="4"/>
      <c r="K770" s="41" t="str">
        <f>IFERROR(__xludf.DUMMYFUNCTION("""COMPUTED_VALUE"""),"")</f>
        <v/>
      </c>
      <c r="L770" s="42" t="s">
        <v>79</v>
      </c>
      <c r="M770" s="42" t="s">
        <v>79</v>
      </c>
    </row>
    <row r="771">
      <c r="A771" s="30"/>
      <c r="B771" s="37" t="s">
        <v>79</v>
      </c>
      <c r="E771" s="21" t="s">
        <v>79</v>
      </c>
      <c r="F771" s="40"/>
      <c r="G771" s="4"/>
      <c r="H771" s="4"/>
      <c r="K771" s="41" t="str">
        <f>IFERROR(__xludf.DUMMYFUNCTION("""COMPUTED_VALUE"""),"")</f>
        <v/>
      </c>
      <c r="L771" s="42" t="s">
        <v>79</v>
      </c>
      <c r="M771" s="42" t="s">
        <v>79</v>
      </c>
    </row>
    <row r="772">
      <c r="A772" s="30"/>
      <c r="B772" s="37" t="s">
        <v>79</v>
      </c>
      <c r="E772" s="21" t="s">
        <v>79</v>
      </c>
      <c r="F772" s="40"/>
      <c r="G772" s="4"/>
      <c r="H772" s="4"/>
      <c r="K772" s="41" t="str">
        <f>IFERROR(__xludf.DUMMYFUNCTION("""COMPUTED_VALUE"""),"")</f>
        <v/>
      </c>
      <c r="L772" s="42" t="s">
        <v>79</v>
      </c>
      <c r="M772" s="42" t="s">
        <v>79</v>
      </c>
    </row>
    <row r="773">
      <c r="A773" s="30"/>
      <c r="B773" s="37" t="s">
        <v>79</v>
      </c>
      <c r="E773" s="21" t="s">
        <v>79</v>
      </c>
      <c r="F773" s="40"/>
      <c r="G773" s="4"/>
      <c r="H773" s="4"/>
      <c r="K773" s="41" t="str">
        <f>IFERROR(__xludf.DUMMYFUNCTION("""COMPUTED_VALUE"""),"")</f>
        <v/>
      </c>
      <c r="L773" s="42" t="s">
        <v>79</v>
      </c>
      <c r="M773" s="42" t="s">
        <v>79</v>
      </c>
    </row>
    <row r="774">
      <c r="A774" s="30"/>
      <c r="B774" s="37" t="s">
        <v>79</v>
      </c>
      <c r="E774" s="21" t="s">
        <v>79</v>
      </c>
      <c r="F774" s="40"/>
      <c r="G774" s="4"/>
      <c r="H774" s="4"/>
      <c r="K774" s="41" t="str">
        <f>IFERROR(__xludf.DUMMYFUNCTION("""COMPUTED_VALUE"""),"")</f>
        <v/>
      </c>
      <c r="L774" s="42" t="s">
        <v>79</v>
      </c>
      <c r="M774" s="42" t="s">
        <v>79</v>
      </c>
    </row>
    <row r="775">
      <c r="A775" s="30"/>
      <c r="B775" s="37" t="s">
        <v>79</v>
      </c>
      <c r="E775" s="21" t="s">
        <v>79</v>
      </c>
      <c r="F775" s="40"/>
      <c r="G775" s="4"/>
      <c r="H775" s="4"/>
      <c r="K775" s="41" t="str">
        <f>IFERROR(__xludf.DUMMYFUNCTION("""COMPUTED_VALUE"""),"")</f>
        <v/>
      </c>
      <c r="L775" s="42" t="s">
        <v>79</v>
      </c>
      <c r="M775" s="42" t="s">
        <v>79</v>
      </c>
    </row>
    <row r="776">
      <c r="A776" s="30"/>
      <c r="B776" s="37" t="s">
        <v>79</v>
      </c>
      <c r="E776" s="21" t="s">
        <v>79</v>
      </c>
      <c r="F776" s="40"/>
      <c r="G776" s="4"/>
      <c r="H776" s="4"/>
      <c r="K776" s="41" t="str">
        <f>IFERROR(__xludf.DUMMYFUNCTION("""COMPUTED_VALUE"""),"")</f>
        <v/>
      </c>
      <c r="L776" s="42" t="s">
        <v>79</v>
      </c>
      <c r="M776" s="42" t="s">
        <v>79</v>
      </c>
    </row>
    <row r="777">
      <c r="A777" s="30"/>
      <c r="B777" s="37" t="s">
        <v>79</v>
      </c>
      <c r="E777" s="21" t="s">
        <v>79</v>
      </c>
      <c r="F777" s="40"/>
      <c r="G777" s="4"/>
      <c r="H777" s="4"/>
      <c r="K777" s="41" t="str">
        <f>IFERROR(__xludf.DUMMYFUNCTION("""COMPUTED_VALUE"""),"")</f>
        <v/>
      </c>
      <c r="L777" s="42" t="s">
        <v>79</v>
      </c>
      <c r="M777" s="42" t="s">
        <v>79</v>
      </c>
    </row>
    <row r="778">
      <c r="A778" s="30"/>
      <c r="B778" s="37" t="s">
        <v>79</v>
      </c>
      <c r="E778" s="21" t="s">
        <v>79</v>
      </c>
      <c r="F778" s="40"/>
      <c r="G778" s="4"/>
      <c r="H778" s="4"/>
      <c r="K778" s="41" t="str">
        <f>IFERROR(__xludf.DUMMYFUNCTION("""COMPUTED_VALUE"""),"")</f>
        <v/>
      </c>
      <c r="L778" s="42" t="s">
        <v>79</v>
      </c>
      <c r="M778" s="42" t="s">
        <v>79</v>
      </c>
    </row>
    <row r="779">
      <c r="A779" s="30"/>
      <c r="B779" s="37" t="s">
        <v>79</v>
      </c>
      <c r="E779" s="21" t="s">
        <v>79</v>
      </c>
      <c r="F779" s="40"/>
      <c r="G779" s="4"/>
      <c r="H779" s="4"/>
      <c r="K779" s="41" t="str">
        <f>IFERROR(__xludf.DUMMYFUNCTION("""COMPUTED_VALUE"""),"")</f>
        <v/>
      </c>
      <c r="L779" s="42" t="s">
        <v>79</v>
      </c>
      <c r="M779" s="42" t="s">
        <v>79</v>
      </c>
    </row>
    <row r="780">
      <c r="A780" s="30"/>
      <c r="B780" s="37" t="s">
        <v>79</v>
      </c>
      <c r="E780" s="21" t="s">
        <v>79</v>
      </c>
      <c r="F780" s="40"/>
      <c r="G780" s="4"/>
      <c r="H780" s="4"/>
      <c r="K780" s="41" t="str">
        <f>IFERROR(__xludf.DUMMYFUNCTION("""COMPUTED_VALUE"""),"")</f>
        <v/>
      </c>
      <c r="L780" s="42" t="s">
        <v>79</v>
      </c>
      <c r="M780" s="42" t="s">
        <v>79</v>
      </c>
    </row>
    <row r="781">
      <c r="A781" s="30"/>
      <c r="B781" s="37" t="s">
        <v>79</v>
      </c>
      <c r="E781" s="21" t="s">
        <v>79</v>
      </c>
      <c r="F781" s="40"/>
      <c r="G781" s="4"/>
      <c r="H781" s="4"/>
      <c r="K781" s="41" t="str">
        <f>IFERROR(__xludf.DUMMYFUNCTION("""COMPUTED_VALUE"""),"")</f>
        <v/>
      </c>
      <c r="L781" s="42" t="s">
        <v>79</v>
      </c>
      <c r="M781" s="42" t="s">
        <v>79</v>
      </c>
    </row>
    <row r="782">
      <c r="A782" s="30"/>
      <c r="B782" s="37" t="s">
        <v>79</v>
      </c>
      <c r="E782" s="21" t="s">
        <v>79</v>
      </c>
      <c r="F782" s="40"/>
      <c r="G782" s="4"/>
      <c r="H782" s="4"/>
      <c r="K782" s="41" t="str">
        <f>IFERROR(__xludf.DUMMYFUNCTION("""COMPUTED_VALUE"""),"")</f>
        <v/>
      </c>
      <c r="L782" s="42" t="s">
        <v>79</v>
      </c>
      <c r="M782" s="42" t="s">
        <v>79</v>
      </c>
    </row>
    <row r="783">
      <c r="A783" s="30"/>
      <c r="B783" s="37" t="s">
        <v>79</v>
      </c>
      <c r="E783" s="21" t="s">
        <v>79</v>
      </c>
      <c r="F783" s="40"/>
      <c r="G783" s="4"/>
      <c r="H783" s="4"/>
      <c r="K783" s="41" t="str">
        <f>IFERROR(__xludf.DUMMYFUNCTION("""COMPUTED_VALUE"""),"")</f>
        <v/>
      </c>
      <c r="L783" s="42" t="s">
        <v>79</v>
      </c>
      <c r="M783" s="42" t="s">
        <v>79</v>
      </c>
    </row>
    <row r="784">
      <c r="A784" s="30"/>
      <c r="B784" s="37" t="s">
        <v>79</v>
      </c>
      <c r="E784" s="21" t="s">
        <v>79</v>
      </c>
      <c r="F784" s="40"/>
      <c r="G784" s="4"/>
      <c r="H784" s="4"/>
      <c r="K784" s="41" t="str">
        <f>IFERROR(__xludf.DUMMYFUNCTION("""COMPUTED_VALUE"""),"")</f>
        <v/>
      </c>
      <c r="L784" s="42" t="s">
        <v>79</v>
      </c>
      <c r="M784" s="42" t="s">
        <v>79</v>
      </c>
    </row>
    <row r="785">
      <c r="A785" s="30"/>
      <c r="B785" s="37" t="s">
        <v>79</v>
      </c>
      <c r="E785" s="21" t="s">
        <v>79</v>
      </c>
      <c r="F785" s="40"/>
      <c r="G785" s="4"/>
      <c r="H785" s="4"/>
      <c r="K785" s="41" t="str">
        <f>IFERROR(__xludf.DUMMYFUNCTION("""COMPUTED_VALUE"""),"")</f>
        <v/>
      </c>
      <c r="L785" s="42" t="s">
        <v>79</v>
      </c>
      <c r="M785" s="42" t="s">
        <v>79</v>
      </c>
    </row>
    <row r="786">
      <c r="A786" s="30"/>
      <c r="B786" s="37" t="s">
        <v>79</v>
      </c>
      <c r="E786" s="21" t="s">
        <v>79</v>
      </c>
      <c r="F786" s="40"/>
      <c r="G786" s="4"/>
      <c r="H786" s="4"/>
      <c r="K786" s="41" t="str">
        <f>IFERROR(__xludf.DUMMYFUNCTION("""COMPUTED_VALUE"""),"")</f>
        <v/>
      </c>
      <c r="L786" s="42" t="s">
        <v>79</v>
      </c>
      <c r="M786" s="42" t="s">
        <v>79</v>
      </c>
    </row>
    <row r="787">
      <c r="A787" s="30"/>
      <c r="B787" s="37" t="s">
        <v>79</v>
      </c>
      <c r="E787" s="21" t="s">
        <v>79</v>
      </c>
      <c r="F787" s="40"/>
      <c r="G787" s="4"/>
      <c r="H787" s="4"/>
      <c r="K787" s="41" t="str">
        <f>IFERROR(__xludf.DUMMYFUNCTION("""COMPUTED_VALUE"""),"")</f>
        <v/>
      </c>
      <c r="L787" s="42" t="s">
        <v>79</v>
      </c>
      <c r="M787" s="42" t="s">
        <v>79</v>
      </c>
    </row>
    <row r="788">
      <c r="A788" s="30"/>
      <c r="B788" s="37" t="s">
        <v>79</v>
      </c>
      <c r="E788" s="21" t="s">
        <v>79</v>
      </c>
      <c r="F788" s="40"/>
      <c r="G788" s="4"/>
      <c r="H788" s="4"/>
      <c r="K788" s="41" t="str">
        <f>IFERROR(__xludf.DUMMYFUNCTION("""COMPUTED_VALUE"""),"")</f>
        <v/>
      </c>
      <c r="L788" s="42" t="s">
        <v>79</v>
      </c>
      <c r="M788" s="42" t="s">
        <v>79</v>
      </c>
    </row>
    <row r="789">
      <c r="A789" s="30"/>
      <c r="B789" s="37" t="s">
        <v>79</v>
      </c>
      <c r="E789" s="21" t="s">
        <v>79</v>
      </c>
      <c r="F789" s="40"/>
      <c r="G789" s="4"/>
      <c r="H789" s="4"/>
      <c r="K789" s="41" t="str">
        <f>IFERROR(__xludf.DUMMYFUNCTION("""COMPUTED_VALUE"""),"")</f>
        <v/>
      </c>
      <c r="L789" s="42" t="s">
        <v>79</v>
      </c>
      <c r="M789" s="42" t="s">
        <v>79</v>
      </c>
    </row>
    <row r="790">
      <c r="A790" s="30"/>
      <c r="B790" s="37" t="s">
        <v>79</v>
      </c>
      <c r="E790" s="21" t="s">
        <v>79</v>
      </c>
      <c r="F790" s="40"/>
      <c r="G790" s="4"/>
      <c r="H790" s="4"/>
      <c r="K790" s="41" t="str">
        <f>IFERROR(__xludf.DUMMYFUNCTION("""COMPUTED_VALUE"""),"")</f>
        <v/>
      </c>
      <c r="L790" s="42" t="s">
        <v>79</v>
      </c>
      <c r="M790" s="42" t="s">
        <v>79</v>
      </c>
    </row>
    <row r="791">
      <c r="A791" s="30"/>
      <c r="B791" s="37" t="s">
        <v>79</v>
      </c>
      <c r="E791" s="21" t="s">
        <v>79</v>
      </c>
      <c r="F791" s="40"/>
      <c r="G791" s="4"/>
      <c r="H791" s="4"/>
      <c r="K791" s="41" t="str">
        <f>IFERROR(__xludf.DUMMYFUNCTION("""COMPUTED_VALUE"""),"")</f>
        <v/>
      </c>
      <c r="L791" s="42" t="s">
        <v>79</v>
      </c>
      <c r="M791" s="42" t="s">
        <v>79</v>
      </c>
    </row>
    <row r="792">
      <c r="A792" s="30"/>
      <c r="B792" s="37" t="s">
        <v>79</v>
      </c>
      <c r="E792" s="21" t="s">
        <v>79</v>
      </c>
      <c r="F792" s="40"/>
      <c r="G792" s="4"/>
      <c r="H792" s="4"/>
      <c r="K792" s="41" t="str">
        <f>IFERROR(__xludf.DUMMYFUNCTION("""COMPUTED_VALUE"""),"")</f>
        <v/>
      </c>
      <c r="L792" s="42" t="s">
        <v>79</v>
      </c>
      <c r="M792" s="42" t="s">
        <v>79</v>
      </c>
    </row>
    <row r="793">
      <c r="A793" s="30"/>
      <c r="B793" s="37" t="s">
        <v>79</v>
      </c>
      <c r="E793" s="21" t="s">
        <v>79</v>
      </c>
      <c r="F793" s="40"/>
      <c r="G793" s="4"/>
      <c r="H793" s="4"/>
      <c r="K793" s="41" t="str">
        <f>IFERROR(__xludf.DUMMYFUNCTION("""COMPUTED_VALUE"""),"")</f>
        <v/>
      </c>
      <c r="L793" s="42" t="s">
        <v>79</v>
      </c>
      <c r="M793" s="42" t="s">
        <v>79</v>
      </c>
    </row>
    <row r="794">
      <c r="A794" s="30"/>
      <c r="B794" s="37" t="s">
        <v>79</v>
      </c>
      <c r="E794" s="21" t="s">
        <v>79</v>
      </c>
      <c r="F794" s="40"/>
      <c r="G794" s="4"/>
      <c r="H794" s="4"/>
      <c r="K794" s="41" t="str">
        <f>IFERROR(__xludf.DUMMYFUNCTION("""COMPUTED_VALUE"""),"")</f>
        <v/>
      </c>
      <c r="L794" s="42" t="s">
        <v>79</v>
      </c>
      <c r="M794" s="42" t="s">
        <v>79</v>
      </c>
    </row>
    <row r="795">
      <c r="A795" s="30"/>
      <c r="B795" s="37" t="s">
        <v>79</v>
      </c>
      <c r="E795" s="21" t="s">
        <v>79</v>
      </c>
      <c r="F795" s="40"/>
      <c r="G795" s="4"/>
      <c r="H795" s="4"/>
      <c r="K795" s="41" t="str">
        <f>IFERROR(__xludf.DUMMYFUNCTION("""COMPUTED_VALUE"""),"")</f>
        <v/>
      </c>
      <c r="L795" s="42" t="s">
        <v>79</v>
      </c>
      <c r="M795" s="42" t="s">
        <v>79</v>
      </c>
    </row>
    <row r="796">
      <c r="A796" s="30"/>
      <c r="B796" s="37" t="s">
        <v>79</v>
      </c>
      <c r="E796" s="21" t="s">
        <v>79</v>
      </c>
      <c r="F796" s="40"/>
      <c r="G796" s="4"/>
      <c r="H796" s="4"/>
      <c r="K796" s="41" t="str">
        <f>IFERROR(__xludf.DUMMYFUNCTION("""COMPUTED_VALUE"""),"")</f>
        <v/>
      </c>
      <c r="L796" s="42" t="s">
        <v>79</v>
      </c>
      <c r="M796" s="42" t="s">
        <v>79</v>
      </c>
    </row>
    <row r="797">
      <c r="A797" s="30"/>
      <c r="B797" s="37" t="s">
        <v>79</v>
      </c>
      <c r="E797" s="21" t="s">
        <v>79</v>
      </c>
      <c r="F797" s="40"/>
      <c r="G797" s="4"/>
      <c r="H797" s="4"/>
      <c r="K797" s="41" t="str">
        <f>IFERROR(__xludf.DUMMYFUNCTION("""COMPUTED_VALUE"""),"")</f>
        <v/>
      </c>
      <c r="L797" s="42" t="s">
        <v>79</v>
      </c>
      <c r="M797" s="42" t="s">
        <v>79</v>
      </c>
    </row>
    <row r="798">
      <c r="A798" s="30"/>
      <c r="B798" s="37" t="s">
        <v>79</v>
      </c>
      <c r="E798" s="21" t="s">
        <v>79</v>
      </c>
      <c r="F798" s="40"/>
      <c r="G798" s="4"/>
      <c r="H798" s="4"/>
      <c r="K798" s="41" t="str">
        <f>IFERROR(__xludf.DUMMYFUNCTION("""COMPUTED_VALUE"""),"")</f>
        <v/>
      </c>
      <c r="L798" s="42" t="s">
        <v>79</v>
      </c>
      <c r="M798" s="42" t="s">
        <v>79</v>
      </c>
    </row>
    <row r="799">
      <c r="A799" s="30"/>
      <c r="B799" s="37" t="s">
        <v>79</v>
      </c>
      <c r="E799" s="21" t="s">
        <v>79</v>
      </c>
      <c r="F799" s="40"/>
      <c r="G799" s="4"/>
      <c r="H799" s="4"/>
      <c r="K799" s="41" t="str">
        <f>IFERROR(__xludf.DUMMYFUNCTION("""COMPUTED_VALUE"""),"")</f>
        <v/>
      </c>
      <c r="L799" s="42" t="s">
        <v>79</v>
      </c>
      <c r="M799" s="42" t="s">
        <v>79</v>
      </c>
    </row>
    <row r="800">
      <c r="A800" s="30"/>
      <c r="B800" s="37" t="s">
        <v>79</v>
      </c>
      <c r="E800" s="21" t="s">
        <v>79</v>
      </c>
      <c r="F800" s="40"/>
      <c r="G800" s="4"/>
      <c r="H800" s="4"/>
      <c r="K800" s="41" t="str">
        <f>IFERROR(__xludf.DUMMYFUNCTION("""COMPUTED_VALUE"""),"")</f>
        <v/>
      </c>
      <c r="L800" s="42" t="s">
        <v>79</v>
      </c>
      <c r="M800" s="42" t="s">
        <v>79</v>
      </c>
    </row>
    <row r="801">
      <c r="A801" s="30"/>
      <c r="B801" s="37" t="s">
        <v>79</v>
      </c>
      <c r="E801" s="21" t="s">
        <v>79</v>
      </c>
      <c r="F801" s="40"/>
      <c r="G801" s="4"/>
      <c r="H801" s="4"/>
      <c r="K801" s="41" t="str">
        <f>IFERROR(__xludf.DUMMYFUNCTION("""COMPUTED_VALUE"""),"")</f>
        <v/>
      </c>
      <c r="L801" s="42" t="s">
        <v>79</v>
      </c>
      <c r="M801" s="42" t="s">
        <v>79</v>
      </c>
    </row>
    <row r="802">
      <c r="A802" s="30"/>
      <c r="B802" s="37" t="s">
        <v>79</v>
      </c>
      <c r="E802" s="21" t="s">
        <v>79</v>
      </c>
      <c r="F802" s="40"/>
      <c r="G802" s="4"/>
      <c r="H802" s="4"/>
      <c r="K802" s="41" t="str">
        <f>IFERROR(__xludf.DUMMYFUNCTION("""COMPUTED_VALUE"""),"")</f>
        <v/>
      </c>
      <c r="L802" s="42" t="s">
        <v>79</v>
      </c>
      <c r="M802" s="42" t="s">
        <v>79</v>
      </c>
    </row>
    <row r="803">
      <c r="A803" s="30"/>
      <c r="B803" s="37" t="s">
        <v>79</v>
      </c>
      <c r="E803" s="21" t="s">
        <v>79</v>
      </c>
      <c r="F803" s="40"/>
      <c r="G803" s="4"/>
      <c r="H803" s="4"/>
      <c r="K803" s="41" t="str">
        <f>IFERROR(__xludf.DUMMYFUNCTION("""COMPUTED_VALUE"""),"")</f>
        <v/>
      </c>
      <c r="L803" s="42" t="s">
        <v>79</v>
      </c>
      <c r="M803" s="42" t="s">
        <v>79</v>
      </c>
    </row>
    <row r="804">
      <c r="A804" s="30"/>
      <c r="B804" s="37" t="s">
        <v>79</v>
      </c>
      <c r="E804" s="21" t="s">
        <v>79</v>
      </c>
      <c r="F804" s="40"/>
      <c r="G804" s="4"/>
      <c r="H804" s="4"/>
      <c r="K804" s="41" t="str">
        <f>IFERROR(__xludf.DUMMYFUNCTION("""COMPUTED_VALUE"""),"")</f>
        <v/>
      </c>
      <c r="L804" s="42" t="s">
        <v>79</v>
      </c>
      <c r="M804" s="42" t="s">
        <v>79</v>
      </c>
    </row>
    <row r="805">
      <c r="A805" s="30"/>
      <c r="B805" s="37" t="s">
        <v>79</v>
      </c>
      <c r="E805" s="21" t="s">
        <v>79</v>
      </c>
      <c r="F805" s="40"/>
      <c r="G805" s="4"/>
      <c r="H805" s="4"/>
      <c r="K805" s="41" t="str">
        <f>IFERROR(__xludf.DUMMYFUNCTION("""COMPUTED_VALUE"""),"")</f>
        <v/>
      </c>
      <c r="L805" s="42" t="s">
        <v>79</v>
      </c>
      <c r="M805" s="42" t="s">
        <v>79</v>
      </c>
    </row>
    <row r="806">
      <c r="A806" s="30"/>
      <c r="B806" s="37" t="s">
        <v>79</v>
      </c>
      <c r="E806" s="21" t="s">
        <v>79</v>
      </c>
      <c r="F806" s="40"/>
      <c r="G806" s="4"/>
      <c r="H806" s="4"/>
      <c r="K806" s="41" t="str">
        <f>IFERROR(__xludf.DUMMYFUNCTION("""COMPUTED_VALUE"""),"")</f>
        <v/>
      </c>
      <c r="L806" s="42" t="s">
        <v>79</v>
      </c>
      <c r="M806" s="42" t="s">
        <v>79</v>
      </c>
    </row>
    <row r="807">
      <c r="A807" s="30"/>
      <c r="B807" s="37" t="s">
        <v>79</v>
      </c>
      <c r="E807" s="21" t="s">
        <v>79</v>
      </c>
      <c r="F807" s="40"/>
      <c r="G807" s="4"/>
      <c r="H807" s="4"/>
      <c r="K807" s="41" t="str">
        <f>IFERROR(__xludf.DUMMYFUNCTION("""COMPUTED_VALUE"""),"")</f>
        <v/>
      </c>
      <c r="L807" s="42" t="s">
        <v>79</v>
      </c>
      <c r="M807" s="42" t="s">
        <v>79</v>
      </c>
    </row>
    <row r="808">
      <c r="A808" s="30"/>
      <c r="B808" s="37" t="s">
        <v>79</v>
      </c>
      <c r="E808" s="21" t="s">
        <v>79</v>
      </c>
      <c r="F808" s="40"/>
      <c r="G808" s="4"/>
      <c r="H808" s="4"/>
      <c r="K808" s="41" t="str">
        <f>IFERROR(__xludf.DUMMYFUNCTION("""COMPUTED_VALUE"""),"")</f>
        <v/>
      </c>
      <c r="L808" s="42" t="s">
        <v>79</v>
      </c>
      <c r="M808" s="42" t="s">
        <v>79</v>
      </c>
    </row>
    <row r="809">
      <c r="A809" s="30"/>
      <c r="B809" s="37" t="s">
        <v>79</v>
      </c>
      <c r="E809" s="21" t="s">
        <v>79</v>
      </c>
      <c r="F809" s="40"/>
      <c r="G809" s="4"/>
      <c r="H809" s="4"/>
      <c r="K809" s="41" t="str">
        <f>IFERROR(__xludf.DUMMYFUNCTION("""COMPUTED_VALUE"""),"")</f>
        <v/>
      </c>
      <c r="L809" s="42" t="s">
        <v>79</v>
      </c>
      <c r="M809" s="42" t="s">
        <v>79</v>
      </c>
    </row>
    <row r="810">
      <c r="A810" s="30"/>
      <c r="B810" s="37" t="s">
        <v>79</v>
      </c>
      <c r="E810" s="21" t="s">
        <v>79</v>
      </c>
      <c r="F810" s="40"/>
      <c r="G810" s="4"/>
      <c r="H810" s="4"/>
      <c r="K810" s="41" t="str">
        <f>IFERROR(__xludf.DUMMYFUNCTION("""COMPUTED_VALUE"""),"")</f>
        <v/>
      </c>
      <c r="L810" s="42" t="s">
        <v>79</v>
      </c>
      <c r="M810" s="42" t="s">
        <v>79</v>
      </c>
    </row>
    <row r="811">
      <c r="A811" s="30"/>
      <c r="B811" s="37" t="s">
        <v>79</v>
      </c>
      <c r="E811" s="21" t="s">
        <v>79</v>
      </c>
      <c r="F811" s="40"/>
      <c r="G811" s="4"/>
      <c r="H811" s="4"/>
      <c r="K811" s="41" t="str">
        <f>IFERROR(__xludf.DUMMYFUNCTION("""COMPUTED_VALUE"""),"")</f>
        <v/>
      </c>
      <c r="L811" s="42" t="s">
        <v>79</v>
      </c>
      <c r="M811" s="42" t="s">
        <v>79</v>
      </c>
    </row>
    <row r="812">
      <c r="A812" s="30"/>
      <c r="B812" s="37" t="s">
        <v>79</v>
      </c>
      <c r="E812" s="21" t="s">
        <v>79</v>
      </c>
      <c r="F812" s="40"/>
      <c r="G812" s="4"/>
      <c r="H812" s="4"/>
      <c r="K812" s="41" t="str">
        <f>IFERROR(__xludf.DUMMYFUNCTION("""COMPUTED_VALUE"""),"")</f>
        <v/>
      </c>
      <c r="L812" s="42" t="s">
        <v>79</v>
      </c>
      <c r="M812" s="42" t="s">
        <v>79</v>
      </c>
    </row>
    <row r="813">
      <c r="A813" s="30"/>
      <c r="B813" s="37" t="s">
        <v>79</v>
      </c>
      <c r="E813" s="21" t="s">
        <v>79</v>
      </c>
      <c r="F813" s="40"/>
      <c r="G813" s="4"/>
      <c r="H813" s="4"/>
      <c r="K813" s="41" t="str">
        <f>IFERROR(__xludf.DUMMYFUNCTION("""COMPUTED_VALUE"""),"")</f>
        <v/>
      </c>
      <c r="L813" s="42" t="s">
        <v>79</v>
      </c>
      <c r="M813" s="42" t="s">
        <v>79</v>
      </c>
    </row>
    <row r="814">
      <c r="A814" s="30"/>
      <c r="B814" s="37" t="s">
        <v>79</v>
      </c>
      <c r="E814" s="21" t="s">
        <v>79</v>
      </c>
      <c r="F814" s="40"/>
      <c r="G814" s="4"/>
      <c r="H814" s="4"/>
      <c r="K814" s="41" t="str">
        <f>IFERROR(__xludf.DUMMYFUNCTION("""COMPUTED_VALUE"""),"")</f>
        <v/>
      </c>
      <c r="L814" s="42" t="s">
        <v>79</v>
      </c>
      <c r="M814" s="42" t="s">
        <v>79</v>
      </c>
    </row>
    <row r="815">
      <c r="A815" s="30"/>
      <c r="B815" s="37" t="s">
        <v>79</v>
      </c>
      <c r="E815" s="21" t="s">
        <v>79</v>
      </c>
      <c r="F815" s="40"/>
      <c r="G815" s="4"/>
      <c r="H815" s="4"/>
      <c r="K815" s="41" t="str">
        <f>IFERROR(__xludf.DUMMYFUNCTION("""COMPUTED_VALUE"""),"")</f>
        <v/>
      </c>
      <c r="L815" s="42" t="s">
        <v>79</v>
      </c>
      <c r="M815" s="42" t="s">
        <v>79</v>
      </c>
    </row>
    <row r="816">
      <c r="A816" s="30"/>
      <c r="B816" s="37" t="s">
        <v>79</v>
      </c>
      <c r="E816" s="21" t="s">
        <v>79</v>
      </c>
      <c r="F816" s="40"/>
      <c r="G816" s="4"/>
      <c r="H816" s="4"/>
      <c r="K816" s="41" t="str">
        <f>IFERROR(__xludf.DUMMYFUNCTION("""COMPUTED_VALUE"""),"")</f>
        <v/>
      </c>
      <c r="L816" s="42" t="s">
        <v>79</v>
      </c>
      <c r="M816" s="42" t="s">
        <v>79</v>
      </c>
    </row>
    <row r="817">
      <c r="A817" s="30"/>
      <c r="B817" s="37" t="s">
        <v>79</v>
      </c>
      <c r="E817" s="21" t="s">
        <v>79</v>
      </c>
      <c r="F817" s="40"/>
      <c r="G817" s="4"/>
      <c r="H817" s="4"/>
      <c r="K817" s="41" t="str">
        <f>IFERROR(__xludf.DUMMYFUNCTION("""COMPUTED_VALUE"""),"")</f>
        <v/>
      </c>
      <c r="L817" s="42" t="s">
        <v>79</v>
      </c>
      <c r="M817" s="42" t="s">
        <v>79</v>
      </c>
    </row>
    <row r="818">
      <c r="A818" s="30"/>
      <c r="B818" s="37" t="s">
        <v>79</v>
      </c>
      <c r="E818" s="21" t="s">
        <v>79</v>
      </c>
      <c r="F818" s="40"/>
      <c r="G818" s="4"/>
      <c r="H818" s="4"/>
      <c r="K818" s="41" t="str">
        <f>IFERROR(__xludf.DUMMYFUNCTION("""COMPUTED_VALUE"""),"")</f>
        <v/>
      </c>
      <c r="L818" s="42" t="s">
        <v>79</v>
      </c>
      <c r="M818" s="42" t="s">
        <v>79</v>
      </c>
    </row>
    <row r="819">
      <c r="A819" s="30"/>
      <c r="B819" s="37" t="s">
        <v>79</v>
      </c>
      <c r="E819" s="21" t="s">
        <v>79</v>
      </c>
      <c r="F819" s="40"/>
      <c r="G819" s="4"/>
      <c r="H819" s="4"/>
      <c r="K819" s="41" t="str">
        <f>IFERROR(__xludf.DUMMYFUNCTION("""COMPUTED_VALUE"""),"")</f>
        <v/>
      </c>
      <c r="L819" s="42" t="s">
        <v>79</v>
      </c>
      <c r="M819" s="42" t="s">
        <v>79</v>
      </c>
    </row>
    <row r="820">
      <c r="A820" s="30"/>
      <c r="B820" s="37" t="s">
        <v>79</v>
      </c>
      <c r="E820" s="21" t="s">
        <v>79</v>
      </c>
      <c r="F820" s="40"/>
      <c r="G820" s="4"/>
      <c r="H820" s="4"/>
      <c r="K820" s="41" t="str">
        <f>IFERROR(__xludf.DUMMYFUNCTION("""COMPUTED_VALUE"""),"")</f>
        <v/>
      </c>
      <c r="L820" s="42" t="s">
        <v>79</v>
      </c>
      <c r="M820" s="42" t="s">
        <v>79</v>
      </c>
    </row>
    <row r="821">
      <c r="A821" s="30"/>
      <c r="B821" s="37" t="s">
        <v>79</v>
      </c>
      <c r="E821" s="21" t="s">
        <v>79</v>
      </c>
      <c r="F821" s="40"/>
      <c r="G821" s="4"/>
      <c r="H821" s="4"/>
      <c r="K821" s="41" t="str">
        <f>IFERROR(__xludf.DUMMYFUNCTION("""COMPUTED_VALUE"""),"")</f>
        <v/>
      </c>
      <c r="L821" s="42" t="s">
        <v>79</v>
      </c>
      <c r="M821" s="42" t="s">
        <v>79</v>
      </c>
    </row>
    <row r="822">
      <c r="A822" s="30"/>
      <c r="B822" s="37" t="s">
        <v>79</v>
      </c>
      <c r="E822" s="21" t="s">
        <v>79</v>
      </c>
      <c r="F822" s="40"/>
      <c r="G822" s="4"/>
      <c r="H822" s="4"/>
      <c r="K822" s="41" t="str">
        <f>IFERROR(__xludf.DUMMYFUNCTION("""COMPUTED_VALUE"""),"")</f>
        <v/>
      </c>
      <c r="L822" s="42" t="s">
        <v>79</v>
      </c>
      <c r="M822" s="42" t="s">
        <v>79</v>
      </c>
    </row>
    <row r="823">
      <c r="A823" s="30"/>
      <c r="B823" s="37" t="s">
        <v>79</v>
      </c>
      <c r="E823" s="21" t="s">
        <v>79</v>
      </c>
      <c r="F823" s="40"/>
      <c r="G823" s="4"/>
      <c r="H823" s="4"/>
      <c r="K823" s="41" t="str">
        <f>IFERROR(__xludf.DUMMYFUNCTION("""COMPUTED_VALUE"""),"")</f>
        <v/>
      </c>
      <c r="L823" s="42" t="s">
        <v>79</v>
      </c>
      <c r="M823" s="42" t="s">
        <v>79</v>
      </c>
    </row>
    <row r="824">
      <c r="A824" s="30"/>
      <c r="B824" s="37" t="s">
        <v>79</v>
      </c>
      <c r="E824" s="21" t="s">
        <v>79</v>
      </c>
      <c r="F824" s="40"/>
      <c r="G824" s="4"/>
      <c r="H824" s="4"/>
      <c r="K824" s="41" t="str">
        <f>IFERROR(__xludf.DUMMYFUNCTION("""COMPUTED_VALUE"""),"")</f>
        <v/>
      </c>
      <c r="L824" s="42" t="s">
        <v>79</v>
      </c>
      <c r="M824" s="42" t="s">
        <v>79</v>
      </c>
    </row>
    <row r="825">
      <c r="A825" s="30"/>
      <c r="B825" s="37" t="s">
        <v>79</v>
      </c>
      <c r="E825" s="21" t="s">
        <v>79</v>
      </c>
      <c r="F825" s="40"/>
      <c r="G825" s="4"/>
      <c r="H825" s="4"/>
      <c r="K825" s="41" t="str">
        <f>IFERROR(__xludf.DUMMYFUNCTION("""COMPUTED_VALUE"""),"")</f>
        <v/>
      </c>
      <c r="L825" s="42" t="s">
        <v>79</v>
      </c>
      <c r="M825" s="42" t="s">
        <v>79</v>
      </c>
    </row>
    <row r="826">
      <c r="A826" s="30"/>
      <c r="B826" s="37" t="s">
        <v>79</v>
      </c>
      <c r="E826" s="21" t="s">
        <v>79</v>
      </c>
      <c r="F826" s="40"/>
      <c r="G826" s="4"/>
      <c r="H826" s="4"/>
      <c r="K826" s="41" t="str">
        <f>IFERROR(__xludf.DUMMYFUNCTION("""COMPUTED_VALUE"""),"")</f>
        <v/>
      </c>
      <c r="L826" s="42" t="s">
        <v>79</v>
      </c>
      <c r="M826" s="42" t="s">
        <v>79</v>
      </c>
    </row>
    <row r="827">
      <c r="A827" s="30"/>
      <c r="B827" s="37" t="s">
        <v>79</v>
      </c>
      <c r="E827" s="21" t="s">
        <v>79</v>
      </c>
      <c r="F827" s="40"/>
      <c r="G827" s="4"/>
      <c r="H827" s="4"/>
      <c r="K827" s="41" t="str">
        <f>IFERROR(__xludf.DUMMYFUNCTION("""COMPUTED_VALUE"""),"")</f>
        <v/>
      </c>
      <c r="L827" s="42" t="s">
        <v>79</v>
      </c>
      <c r="M827" s="42" t="s">
        <v>79</v>
      </c>
    </row>
    <row r="828">
      <c r="A828" s="30"/>
      <c r="B828" s="37" t="s">
        <v>79</v>
      </c>
      <c r="E828" s="21" t="s">
        <v>79</v>
      </c>
      <c r="F828" s="40"/>
      <c r="G828" s="4"/>
      <c r="H828" s="4"/>
      <c r="K828" s="41" t="str">
        <f>IFERROR(__xludf.DUMMYFUNCTION("""COMPUTED_VALUE"""),"")</f>
        <v/>
      </c>
      <c r="L828" s="42" t="s">
        <v>79</v>
      </c>
      <c r="M828" s="42" t="s">
        <v>79</v>
      </c>
    </row>
    <row r="829">
      <c r="A829" s="30"/>
      <c r="B829" s="37" t="s">
        <v>79</v>
      </c>
      <c r="E829" s="21" t="s">
        <v>79</v>
      </c>
      <c r="F829" s="40"/>
      <c r="G829" s="4"/>
      <c r="H829" s="4"/>
      <c r="K829" s="41" t="str">
        <f>IFERROR(__xludf.DUMMYFUNCTION("""COMPUTED_VALUE"""),"")</f>
        <v/>
      </c>
      <c r="L829" s="42" t="s">
        <v>79</v>
      </c>
      <c r="M829" s="42" t="s">
        <v>79</v>
      </c>
    </row>
    <row r="830">
      <c r="A830" s="30"/>
      <c r="B830" s="37" t="s">
        <v>79</v>
      </c>
      <c r="E830" s="21" t="s">
        <v>79</v>
      </c>
      <c r="F830" s="40"/>
      <c r="G830" s="4"/>
      <c r="H830" s="4"/>
      <c r="K830" s="41" t="str">
        <f>IFERROR(__xludf.DUMMYFUNCTION("""COMPUTED_VALUE"""),"")</f>
        <v/>
      </c>
      <c r="L830" s="42" t="s">
        <v>79</v>
      </c>
      <c r="M830" s="42" t="s">
        <v>79</v>
      </c>
    </row>
    <row r="831">
      <c r="A831" s="30"/>
      <c r="B831" s="37" t="s">
        <v>79</v>
      </c>
      <c r="E831" s="21" t="s">
        <v>79</v>
      </c>
      <c r="F831" s="40"/>
      <c r="G831" s="4"/>
      <c r="H831" s="4"/>
      <c r="K831" s="41" t="str">
        <f>IFERROR(__xludf.DUMMYFUNCTION("""COMPUTED_VALUE"""),"")</f>
        <v/>
      </c>
      <c r="L831" s="42" t="s">
        <v>79</v>
      </c>
      <c r="M831" s="42" t="s">
        <v>79</v>
      </c>
    </row>
    <row r="832">
      <c r="A832" s="30"/>
      <c r="B832" s="37" t="s">
        <v>79</v>
      </c>
      <c r="E832" s="21" t="s">
        <v>79</v>
      </c>
      <c r="F832" s="40"/>
      <c r="G832" s="4"/>
      <c r="H832" s="4"/>
      <c r="K832" s="41" t="str">
        <f>IFERROR(__xludf.DUMMYFUNCTION("""COMPUTED_VALUE"""),"")</f>
        <v/>
      </c>
      <c r="L832" s="42" t="s">
        <v>79</v>
      </c>
      <c r="M832" s="42" t="s">
        <v>79</v>
      </c>
    </row>
    <row r="833">
      <c r="A833" s="30"/>
      <c r="B833" s="37" t="s">
        <v>79</v>
      </c>
      <c r="E833" s="21" t="s">
        <v>79</v>
      </c>
      <c r="F833" s="40"/>
      <c r="G833" s="4"/>
      <c r="H833" s="4"/>
      <c r="K833" s="41" t="str">
        <f>IFERROR(__xludf.DUMMYFUNCTION("""COMPUTED_VALUE"""),"")</f>
        <v/>
      </c>
      <c r="L833" s="42" t="s">
        <v>79</v>
      </c>
      <c r="M833" s="42" t="s">
        <v>79</v>
      </c>
    </row>
    <row r="834">
      <c r="A834" s="30"/>
      <c r="B834" s="37" t="s">
        <v>79</v>
      </c>
      <c r="E834" s="21" t="s">
        <v>79</v>
      </c>
      <c r="F834" s="40"/>
      <c r="G834" s="4"/>
      <c r="H834" s="4"/>
      <c r="K834" s="41" t="str">
        <f>IFERROR(__xludf.DUMMYFUNCTION("""COMPUTED_VALUE"""),"")</f>
        <v/>
      </c>
      <c r="L834" s="42" t="s">
        <v>79</v>
      </c>
      <c r="M834" s="42" t="s">
        <v>79</v>
      </c>
    </row>
    <row r="835">
      <c r="A835" s="30"/>
      <c r="B835" s="37" t="s">
        <v>79</v>
      </c>
      <c r="E835" s="21" t="s">
        <v>79</v>
      </c>
      <c r="F835" s="40"/>
      <c r="G835" s="4"/>
      <c r="H835" s="4"/>
      <c r="K835" s="41" t="str">
        <f>IFERROR(__xludf.DUMMYFUNCTION("""COMPUTED_VALUE"""),"")</f>
        <v/>
      </c>
      <c r="L835" s="42" t="s">
        <v>79</v>
      </c>
      <c r="M835" s="42" t="s">
        <v>79</v>
      </c>
    </row>
    <row r="836">
      <c r="A836" s="30"/>
      <c r="B836" s="37" t="s">
        <v>79</v>
      </c>
      <c r="E836" s="21" t="s">
        <v>79</v>
      </c>
      <c r="F836" s="40"/>
      <c r="G836" s="4"/>
      <c r="H836" s="4"/>
      <c r="K836" s="41" t="str">
        <f>IFERROR(__xludf.DUMMYFUNCTION("""COMPUTED_VALUE"""),"")</f>
        <v/>
      </c>
      <c r="L836" s="42" t="s">
        <v>79</v>
      </c>
      <c r="M836" s="42" t="s">
        <v>79</v>
      </c>
    </row>
    <row r="837">
      <c r="A837" s="30"/>
      <c r="B837" s="37" t="s">
        <v>79</v>
      </c>
      <c r="E837" s="21" t="s">
        <v>79</v>
      </c>
      <c r="F837" s="40"/>
      <c r="G837" s="4"/>
      <c r="H837" s="4"/>
      <c r="K837" s="41" t="str">
        <f>IFERROR(__xludf.DUMMYFUNCTION("""COMPUTED_VALUE"""),"")</f>
        <v/>
      </c>
      <c r="L837" s="42" t="s">
        <v>79</v>
      </c>
      <c r="M837" s="42" t="s">
        <v>79</v>
      </c>
    </row>
    <row r="838">
      <c r="A838" s="30"/>
      <c r="B838" s="37" t="s">
        <v>79</v>
      </c>
      <c r="E838" s="21" t="s">
        <v>79</v>
      </c>
      <c r="F838" s="40"/>
      <c r="G838" s="4"/>
      <c r="H838" s="4"/>
      <c r="K838" s="41" t="str">
        <f>IFERROR(__xludf.DUMMYFUNCTION("""COMPUTED_VALUE"""),"")</f>
        <v/>
      </c>
      <c r="L838" s="42" t="s">
        <v>79</v>
      </c>
      <c r="M838" s="42" t="s">
        <v>79</v>
      </c>
    </row>
    <row r="839">
      <c r="A839" s="30"/>
      <c r="B839" s="37" t="s">
        <v>79</v>
      </c>
      <c r="E839" s="21" t="s">
        <v>79</v>
      </c>
      <c r="F839" s="40"/>
      <c r="G839" s="4"/>
      <c r="H839" s="4"/>
      <c r="K839" s="41" t="str">
        <f>IFERROR(__xludf.DUMMYFUNCTION("""COMPUTED_VALUE"""),"")</f>
        <v/>
      </c>
      <c r="L839" s="42" t="s">
        <v>79</v>
      </c>
      <c r="M839" s="42" t="s">
        <v>79</v>
      </c>
    </row>
    <row r="840">
      <c r="A840" s="30"/>
      <c r="B840" s="37" t="s">
        <v>79</v>
      </c>
      <c r="E840" s="21" t="s">
        <v>79</v>
      </c>
      <c r="F840" s="40"/>
      <c r="G840" s="4"/>
      <c r="H840" s="4"/>
      <c r="K840" s="41" t="str">
        <f>IFERROR(__xludf.DUMMYFUNCTION("""COMPUTED_VALUE"""),"")</f>
        <v/>
      </c>
      <c r="L840" s="42" t="s">
        <v>79</v>
      </c>
      <c r="M840" s="42" t="s">
        <v>79</v>
      </c>
    </row>
    <row r="841">
      <c r="A841" s="30"/>
      <c r="B841" s="37" t="s">
        <v>79</v>
      </c>
      <c r="E841" s="21" t="s">
        <v>79</v>
      </c>
      <c r="F841" s="40"/>
      <c r="G841" s="4"/>
      <c r="H841" s="4"/>
      <c r="K841" s="41" t="str">
        <f>IFERROR(__xludf.DUMMYFUNCTION("""COMPUTED_VALUE"""),"")</f>
        <v/>
      </c>
      <c r="L841" s="42" t="s">
        <v>79</v>
      </c>
      <c r="M841" s="42" t="s">
        <v>79</v>
      </c>
    </row>
    <row r="842">
      <c r="A842" s="30"/>
      <c r="B842" s="37" t="s">
        <v>79</v>
      </c>
      <c r="E842" s="21" t="s">
        <v>79</v>
      </c>
      <c r="F842" s="40"/>
      <c r="G842" s="4"/>
      <c r="H842" s="4"/>
      <c r="K842" s="41" t="str">
        <f>IFERROR(__xludf.DUMMYFUNCTION("""COMPUTED_VALUE"""),"")</f>
        <v/>
      </c>
      <c r="L842" s="42" t="s">
        <v>79</v>
      </c>
      <c r="M842" s="42" t="s">
        <v>79</v>
      </c>
    </row>
    <row r="843">
      <c r="A843" s="30"/>
      <c r="B843" s="37" t="s">
        <v>79</v>
      </c>
      <c r="E843" s="21" t="s">
        <v>79</v>
      </c>
      <c r="F843" s="40"/>
      <c r="G843" s="4"/>
      <c r="H843" s="4"/>
      <c r="K843" s="41" t="str">
        <f>IFERROR(__xludf.DUMMYFUNCTION("""COMPUTED_VALUE"""),"")</f>
        <v/>
      </c>
      <c r="L843" s="42" t="s">
        <v>79</v>
      </c>
      <c r="M843" s="42" t="s">
        <v>79</v>
      </c>
    </row>
    <row r="844">
      <c r="A844" s="30"/>
      <c r="B844" s="37" t="s">
        <v>79</v>
      </c>
      <c r="E844" s="21" t="s">
        <v>79</v>
      </c>
      <c r="F844" s="40"/>
      <c r="G844" s="4"/>
      <c r="H844" s="4"/>
      <c r="K844" s="41" t="str">
        <f>IFERROR(__xludf.DUMMYFUNCTION("""COMPUTED_VALUE"""),"")</f>
        <v/>
      </c>
      <c r="L844" s="42" t="s">
        <v>79</v>
      </c>
      <c r="M844" s="42" t="s">
        <v>79</v>
      </c>
    </row>
    <row r="845">
      <c r="A845" s="30"/>
      <c r="B845" s="37" t="s">
        <v>79</v>
      </c>
      <c r="E845" s="21" t="s">
        <v>79</v>
      </c>
      <c r="F845" s="40"/>
      <c r="G845" s="4"/>
      <c r="H845" s="4"/>
      <c r="K845" s="41" t="str">
        <f>IFERROR(__xludf.DUMMYFUNCTION("""COMPUTED_VALUE"""),"")</f>
        <v/>
      </c>
      <c r="L845" s="42" t="s">
        <v>79</v>
      </c>
      <c r="M845" s="42" t="s">
        <v>79</v>
      </c>
    </row>
    <row r="846">
      <c r="A846" s="30"/>
      <c r="B846" s="37" t="s">
        <v>79</v>
      </c>
      <c r="E846" s="21" t="s">
        <v>79</v>
      </c>
      <c r="F846" s="40"/>
      <c r="G846" s="4"/>
      <c r="H846" s="4"/>
      <c r="K846" s="41" t="str">
        <f>IFERROR(__xludf.DUMMYFUNCTION("""COMPUTED_VALUE"""),"")</f>
        <v/>
      </c>
      <c r="L846" s="42" t="s">
        <v>79</v>
      </c>
      <c r="M846" s="42" t="s">
        <v>79</v>
      </c>
    </row>
    <row r="847">
      <c r="A847" s="30"/>
      <c r="B847" s="37" t="s">
        <v>79</v>
      </c>
      <c r="E847" s="21" t="s">
        <v>79</v>
      </c>
      <c r="F847" s="40"/>
      <c r="G847" s="4"/>
      <c r="H847" s="4"/>
      <c r="K847" s="41" t="str">
        <f>IFERROR(__xludf.DUMMYFUNCTION("""COMPUTED_VALUE"""),"")</f>
        <v/>
      </c>
      <c r="L847" s="42" t="s">
        <v>79</v>
      </c>
      <c r="M847" s="42" t="s">
        <v>79</v>
      </c>
    </row>
    <row r="848">
      <c r="A848" s="30"/>
      <c r="B848" s="37" t="s">
        <v>79</v>
      </c>
      <c r="E848" s="21" t="s">
        <v>79</v>
      </c>
      <c r="F848" s="40"/>
      <c r="G848" s="4"/>
      <c r="H848" s="4"/>
      <c r="K848" s="41" t="str">
        <f>IFERROR(__xludf.DUMMYFUNCTION("""COMPUTED_VALUE"""),"")</f>
        <v/>
      </c>
      <c r="L848" s="42" t="s">
        <v>79</v>
      </c>
      <c r="M848" s="42" t="s">
        <v>79</v>
      </c>
    </row>
    <row r="849">
      <c r="A849" s="30"/>
      <c r="B849" s="37" t="s">
        <v>79</v>
      </c>
      <c r="E849" s="21" t="s">
        <v>79</v>
      </c>
      <c r="F849" s="40"/>
      <c r="G849" s="4"/>
      <c r="H849" s="4"/>
      <c r="K849" s="41" t="str">
        <f>IFERROR(__xludf.DUMMYFUNCTION("""COMPUTED_VALUE"""),"")</f>
        <v/>
      </c>
      <c r="L849" s="42" t="s">
        <v>79</v>
      </c>
      <c r="M849" s="42" t="s">
        <v>79</v>
      </c>
    </row>
    <row r="850">
      <c r="A850" s="30"/>
      <c r="B850" s="37" t="s">
        <v>79</v>
      </c>
      <c r="E850" s="21" t="s">
        <v>79</v>
      </c>
      <c r="F850" s="40"/>
      <c r="G850" s="4"/>
      <c r="H850" s="4"/>
      <c r="K850" s="41" t="str">
        <f>IFERROR(__xludf.DUMMYFUNCTION("""COMPUTED_VALUE"""),"")</f>
        <v/>
      </c>
      <c r="L850" s="42" t="s">
        <v>79</v>
      </c>
      <c r="M850" s="42" t="s">
        <v>79</v>
      </c>
    </row>
    <row r="851">
      <c r="A851" s="30"/>
      <c r="B851" s="37" t="s">
        <v>79</v>
      </c>
      <c r="E851" s="21" t="s">
        <v>79</v>
      </c>
      <c r="F851" s="40"/>
      <c r="G851" s="4"/>
      <c r="H851" s="4"/>
      <c r="K851" s="41" t="str">
        <f>IFERROR(__xludf.DUMMYFUNCTION("""COMPUTED_VALUE"""),"")</f>
        <v/>
      </c>
      <c r="L851" s="42" t="s">
        <v>79</v>
      </c>
      <c r="M851" s="42" t="s">
        <v>79</v>
      </c>
    </row>
    <row r="852">
      <c r="A852" s="30"/>
      <c r="B852" s="37" t="s">
        <v>79</v>
      </c>
      <c r="E852" s="21" t="s">
        <v>79</v>
      </c>
      <c r="F852" s="40"/>
      <c r="G852" s="4"/>
      <c r="H852" s="4"/>
      <c r="K852" s="41" t="str">
        <f>IFERROR(__xludf.DUMMYFUNCTION("""COMPUTED_VALUE"""),"")</f>
        <v/>
      </c>
      <c r="L852" s="42" t="s">
        <v>79</v>
      </c>
      <c r="M852" s="42" t="s">
        <v>79</v>
      </c>
    </row>
    <row r="853">
      <c r="A853" s="30"/>
      <c r="B853" s="37" t="s">
        <v>79</v>
      </c>
      <c r="E853" s="21" t="s">
        <v>79</v>
      </c>
      <c r="F853" s="40"/>
      <c r="G853" s="4"/>
      <c r="H853" s="4"/>
      <c r="K853" s="41" t="str">
        <f>IFERROR(__xludf.DUMMYFUNCTION("""COMPUTED_VALUE"""),"")</f>
        <v/>
      </c>
      <c r="L853" s="42" t="s">
        <v>79</v>
      </c>
      <c r="M853" s="42" t="s">
        <v>79</v>
      </c>
    </row>
    <row r="854">
      <c r="A854" s="30"/>
      <c r="B854" s="37" t="s">
        <v>79</v>
      </c>
      <c r="E854" s="21" t="s">
        <v>79</v>
      </c>
      <c r="F854" s="40"/>
      <c r="G854" s="4"/>
      <c r="H854" s="4"/>
      <c r="K854" s="41" t="str">
        <f>IFERROR(__xludf.DUMMYFUNCTION("""COMPUTED_VALUE"""),"")</f>
        <v/>
      </c>
      <c r="L854" s="42" t="s">
        <v>79</v>
      </c>
      <c r="M854" s="42" t="s">
        <v>79</v>
      </c>
    </row>
    <row r="855">
      <c r="A855" s="30"/>
      <c r="B855" s="37" t="s">
        <v>79</v>
      </c>
      <c r="E855" s="21" t="s">
        <v>79</v>
      </c>
      <c r="F855" s="40"/>
      <c r="G855" s="4"/>
      <c r="H855" s="4"/>
      <c r="K855" s="41" t="str">
        <f>IFERROR(__xludf.DUMMYFUNCTION("""COMPUTED_VALUE"""),"")</f>
        <v/>
      </c>
      <c r="L855" s="42" t="s">
        <v>79</v>
      </c>
      <c r="M855" s="42" t="s">
        <v>79</v>
      </c>
    </row>
    <row r="856">
      <c r="A856" s="30"/>
      <c r="B856" s="37" t="s">
        <v>79</v>
      </c>
      <c r="E856" s="21" t="s">
        <v>79</v>
      </c>
      <c r="F856" s="40"/>
      <c r="G856" s="4"/>
      <c r="H856" s="4"/>
      <c r="K856" s="41" t="str">
        <f>IFERROR(__xludf.DUMMYFUNCTION("""COMPUTED_VALUE"""),"")</f>
        <v/>
      </c>
      <c r="L856" s="42" t="s">
        <v>79</v>
      </c>
      <c r="M856" s="42" t="s">
        <v>79</v>
      </c>
    </row>
    <row r="857">
      <c r="A857" s="30"/>
      <c r="B857" s="37" t="s">
        <v>79</v>
      </c>
      <c r="E857" s="21" t="s">
        <v>79</v>
      </c>
      <c r="F857" s="40"/>
      <c r="G857" s="4"/>
      <c r="H857" s="4"/>
      <c r="K857" s="41" t="str">
        <f>IFERROR(__xludf.DUMMYFUNCTION("""COMPUTED_VALUE"""),"")</f>
        <v/>
      </c>
      <c r="L857" s="42" t="s">
        <v>79</v>
      </c>
      <c r="M857" s="42" t="s">
        <v>79</v>
      </c>
    </row>
    <row r="858">
      <c r="A858" s="30"/>
      <c r="B858" s="37" t="s">
        <v>79</v>
      </c>
      <c r="E858" s="21" t="s">
        <v>79</v>
      </c>
      <c r="F858" s="40"/>
      <c r="G858" s="4"/>
      <c r="H858" s="4"/>
      <c r="K858" s="41" t="str">
        <f>IFERROR(__xludf.DUMMYFUNCTION("""COMPUTED_VALUE"""),"")</f>
        <v/>
      </c>
      <c r="L858" s="42" t="s">
        <v>79</v>
      </c>
      <c r="M858" s="42" t="s">
        <v>79</v>
      </c>
    </row>
    <row r="859">
      <c r="A859" s="30"/>
      <c r="B859" s="37" t="s">
        <v>79</v>
      </c>
      <c r="E859" s="21" t="s">
        <v>79</v>
      </c>
      <c r="F859" s="40"/>
      <c r="G859" s="4"/>
      <c r="H859" s="4"/>
      <c r="K859" s="41" t="str">
        <f>IFERROR(__xludf.DUMMYFUNCTION("""COMPUTED_VALUE"""),"")</f>
        <v/>
      </c>
      <c r="L859" s="42" t="s">
        <v>79</v>
      </c>
      <c r="M859" s="42" t="s">
        <v>79</v>
      </c>
    </row>
    <row r="860">
      <c r="A860" s="30"/>
      <c r="B860" s="37" t="s">
        <v>79</v>
      </c>
      <c r="E860" s="21" t="s">
        <v>79</v>
      </c>
      <c r="F860" s="40"/>
      <c r="G860" s="4"/>
      <c r="H860" s="4"/>
      <c r="K860" s="41" t="str">
        <f>IFERROR(__xludf.DUMMYFUNCTION("""COMPUTED_VALUE"""),"")</f>
        <v/>
      </c>
      <c r="L860" s="42" t="s">
        <v>79</v>
      </c>
      <c r="M860" s="42" t="s">
        <v>79</v>
      </c>
    </row>
    <row r="861">
      <c r="A861" s="30"/>
      <c r="B861" s="37" t="s">
        <v>79</v>
      </c>
      <c r="E861" s="21" t="s">
        <v>79</v>
      </c>
      <c r="F861" s="40"/>
      <c r="G861" s="4"/>
      <c r="H861" s="4"/>
      <c r="K861" s="41" t="str">
        <f>IFERROR(__xludf.DUMMYFUNCTION("""COMPUTED_VALUE"""),"")</f>
        <v/>
      </c>
      <c r="L861" s="42" t="s">
        <v>79</v>
      </c>
      <c r="M861" s="42" t="s">
        <v>79</v>
      </c>
    </row>
    <row r="862">
      <c r="A862" s="30"/>
      <c r="B862" s="37" t="s">
        <v>79</v>
      </c>
      <c r="E862" s="21" t="s">
        <v>79</v>
      </c>
      <c r="F862" s="40"/>
      <c r="G862" s="4"/>
      <c r="H862" s="4"/>
      <c r="K862" s="41" t="str">
        <f>IFERROR(__xludf.DUMMYFUNCTION("""COMPUTED_VALUE"""),"")</f>
        <v/>
      </c>
      <c r="L862" s="42" t="s">
        <v>79</v>
      </c>
      <c r="M862" s="42" t="s">
        <v>79</v>
      </c>
    </row>
    <row r="863">
      <c r="A863" s="30"/>
      <c r="B863" s="37" t="s">
        <v>79</v>
      </c>
      <c r="E863" s="21" t="s">
        <v>79</v>
      </c>
      <c r="F863" s="40"/>
      <c r="G863" s="4"/>
      <c r="H863" s="4"/>
      <c r="K863" s="41" t="str">
        <f>IFERROR(__xludf.DUMMYFUNCTION("""COMPUTED_VALUE"""),"")</f>
        <v/>
      </c>
      <c r="L863" s="42" t="s">
        <v>79</v>
      </c>
      <c r="M863" s="42" t="s">
        <v>79</v>
      </c>
    </row>
    <row r="864">
      <c r="A864" s="30"/>
      <c r="B864" s="37" t="s">
        <v>79</v>
      </c>
      <c r="E864" s="21" t="s">
        <v>79</v>
      </c>
      <c r="F864" s="40"/>
      <c r="G864" s="4"/>
      <c r="H864" s="4"/>
      <c r="K864" s="41" t="str">
        <f>IFERROR(__xludf.DUMMYFUNCTION("""COMPUTED_VALUE"""),"")</f>
        <v/>
      </c>
      <c r="L864" s="42" t="s">
        <v>79</v>
      </c>
      <c r="M864" s="42" t="s">
        <v>79</v>
      </c>
    </row>
    <row r="865">
      <c r="A865" s="30"/>
      <c r="B865" s="37" t="s">
        <v>79</v>
      </c>
      <c r="E865" s="21" t="s">
        <v>79</v>
      </c>
      <c r="F865" s="40"/>
      <c r="G865" s="4"/>
      <c r="H865" s="4"/>
      <c r="K865" s="41" t="str">
        <f>IFERROR(__xludf.DUMMYFUNCTION("""COMPUTED_VALUE"""),"")</f>
        <v/>
      </c>
      <c r="L865" s="42" t="s">
        <v>79</v>
      </c>
      <c r="M865" s="42" t="s">
        <v>79</v>
      </c>
    </row>
    <row r="866">
      <c r="A866" s="30"/>
      <c r="B866" s="37" t="s">
        <v>79</v>
      </c>
      <c r="E866" s="21" t="s">
        <v>79</v>
      </c>
      <c r="F866" s="40"/>
      <c r="G866" s="4"/>
      <c r="H866" s="4"/>
      <c r="K866" s="41" t="str">
        <f>IFERROR(__xludf.DUMMYFUNCTION("""COMPUTED_VALUE"""),"")</f>
        <v/>
      </c>
      <c r="L866" s="42" t="s">
        <v>79</v>
      </c>
      <c r="M866" s="42" t="s">
        <v>79</v>
      </c>
    </row>
    <row r="867">
      <c r="A867" s="30"/>
      <c r="B867" s="37" t="s">
        <v>79</v>
      </c>
      <c r="E867" s="21" t="s">
        <v>79</v>
      </c>
      <c r="F867" s="40"/>
      <c r="G867" s="4"/>
      <c r="H867" s="4"/>
      <c r="K867" s="41" t="str">
        <f>IFERROR(__xludf.DUMMYFUNCTION("""COMPUTED_VALUE"""),"")</f>
        <v/>
      </c>
      <c r="L867" s="42" t="s">
        <v>79</v>
      </c>
      <c r="M867" s="42" t="s">
        <v>79</v>
      </c>
    </row>
    <row r="868">
      <c r="A868" s="30"/>
      <c r="B868" s="37" t="s">
        <v>79</v>
      </c>
      <c r="E868" s="21" t="s">
        <v>79</v>
      </c>
      <c r="F868" s="40"/>
      <c r="G868" s="4"/>
      <c r="H868" s="4"/>
      <c r="K868" s="41" t="str">
        <f>IFERROR(__xludf.DUMMYFUNCTION("""COMPUTED_VALUE"""),"")</f>
        <v/>
      </c>
      <c r="L868" s="42" t="s">
        <v>79</v>
      </c>
      <c r="M868" s="42" t="s">
        <v>79</v>
      </c>
    </row>
    <row r="869">
      <c r="A869" s="30"/>
      <c r="B869" s="37" t="s">
        <v>79</v>
      </c>
      <c r="E869" s="21" t="s">
        <v>79</v>
      </c>
      <c r="F869" s="40"/>
      <c r="G869" s="4"/>
      <c r="H869" s="4"/>
      <c r="K869" s="41" t="str">
        <f>IFERROR(__xludf.DUMMYFUNCTION("""COMPUTED_VALUE"""),"")</f>
        <v/>
      </c>
      <c r="L869" s="42" t="s">
        <v>79</v>
      </c>
      <c r="M869" s="42" t="s">
        <v>79</v>
      </c>
    </row>
    <row r="870">
      <c r="A870" s="30"/>
      <c r="B870" s="37" t="s">
        <v>79</v>
      </c>
      <c r="E870" s="21" t="s">
        <v>79</v>
      </c>
      <c r="F870" s="40"/>
      <c r="G870" s="4"/>
      <c r="H870" s="4"/>
      <c r="K870" s="41" t="str">
        <f>IFERROR(__xludf.DUMMYFUNCTION("""COMPUTED_VALUE"""),"")</f>
        <v/>
      </c>
      <c r="L870" s="42" t="s">
        <v>79</v>
      </c>
      <c r="M870" s="42" t="s">
        <v>79</v>
      </c>
    </row>
    <row r="871">
      <c r="A871" s="30"/>
      <c r="B871" s="37" t="s">
        <v>79</v>
      </c>
      <c r="E871" s="21" t="s">
        <v>79</v>
      </c>
      <c r="F871" s="40"/>
      <c r="G871" s="4"/>
      <c r="H871" s="4"/>
      <c r="K871" s="41" t="str">
        <f>IFERROR(__xludf.DUMMYFUNCTION("""COMPUTED_VALUE"""),"")</f>
        <v/>
      </c>
      <c r="L871" s="42" t="s">
        <v>79</v>
      </c>
      <c r="M871" s="42" t="s">
        <v>79</v>
      </c>
    </row>
    <row r="872">
      <c r="A872" s="30"/>
      <c r="B872" s="37" t="s">
        <v>79</v>
      </c>
      <c r="E872" s="21" t="s">
        <v>79</v>
      </c>
      <c r="F872" s="40"/>
      <c r="G872" s="4"/>
      <c r="H872" s="4"/>
      <c r="K872" s="41" t="str">
        <f>IFERROR(__xludf.DUMMYFUNCTION("""COMPUTED_VALUE"""),"")</f>
        <v/>
      </c>
      <c r="L872" s="42" t="s">
        <v>79</v>
      </c>
      <c r="M872" s="42" t="s">
        <v>79</v>
      </c>
    </row>
    <row r="873">
      <c r="A873" s="30"/>
      <c r="B873" s="37" t="s">
        <v>79</v>
      </c>
      <c r="E873" s="21" t="s">
        <v>79</v>
      </c>
      <c r="F873" s="40"/>
      <c r="G873" s="4"/>
      <c r="H873" s="4"/>
      <c r="K873" s="41" t="str">
        <f>IFERROR(__xludf.DUMMYFUNCTION("""COMPUTED_VALUE"""),"")</f>
        <v/>
      </c>
      <c r="L873" s="42" t="s">
        <v>79</v>
      </c>
      <c r="M873" s="42" t="s">
        <v>79</v>
      </c>
    </row>
    <row r="874">
      <c r="A874" s="30"/>
      <c r="B874" s="37" t="s">
        <v>79</v>
      </c>
      <c r="E874" s="21" t="s">
        <v>79</v>
      </c>
      <c r="F874" s="40"/>
      <c r="G874" s="4"/>
      <c r="H874" s="4"/>
      <c r="K874" s="41" t="str">
        <f>IFERROR(__xludf.DUMMYFUNCTION("""COMPUTED_VALUE"""),"")</f>
        <v/>
      </c>
      <c r="L874" s="42" t="s">
        <v>79</v>
      </c>
      <c r="M874" s="42" t="s">
        <v>79</v>
      </c>
    </row>
    <row r="875">
      <c r="A875" s="30"/>
      <c r="B875" s="37" t="s">
        <v>79</v>
      </c>
      <c r="E875" s="21" t="s">
        <v>79</v>
      </c>
      <c r="F875" s="40"/>
      <c r="G875" s="4"/>
      <c r="H875" s="4"/>
      <c r="K875" s="41" t="str">
        <f>IFERROR(__xludf.DUMMYFUNCTION("""COMPUTED_VALUE"""),"")</f>
        <v/>
      </c>
      <c r="L875" s="42" t="s">
        <v>79</v>
      </c>
      <c r="M875" s="42" t="s">
        <v>79</v>
      </c>
    </row>
    <row r="876">
      <c r="A876" s="30"/>
      <c r="B876" s="37" t="s">
        <v>79</v>
      </c>
      <c r="E876" s="21" t="s">
        <v>79</v>
      </c>
      <c r="F876" s="40"/>
      <c r="G876" s="4"/>
      <c r="H876" s="4"/>
      <c r="K876" s="41" t="str">
        <f>IFERROR(__xludf.DUMMYFUNCTION("""COMPUTED_VALUE"""),"")</f>
        <v/>
      </c>
      <c r="L876" s="42" t="s">
        <v>79</v>
      </c>
      <c r="M876" s="42" t="s">
        <v>79</v>
      </c>
    </row>
    <row r="877">
      <c r="A877" s="30"/>
      <c r="B877" s="37" t="s">
        <v>79</v>
      </c>
      <c r="E877" s="21" t="s">
        <v>79</v>
      </c>
      <c r="F877" s="40"/>
      <c r="G877" s="4"/>
      <c r="H877" s="4"/>
      <c r="K877" s="41" t="str">
        <f>IFERROR(__xludf.DUMMYFUNCTION("""COMPUTED_VALUE"""),"")</f>
        <v/>
      </c>
      <c r="L877" s="42" t="s">
        <v>79</v>
      </c>
      <c r="M877" s="42" t="s">
        <v>79</v>
      </c>
    </row>
    <row r="878">
      <c r="A878" s="30"/>
      <c r="B878" s="37" t="s">
        <v>79</v>
      </c>
      <c r="E878" s="21" t="s">
        <v>79</v>
      </c>
      <c r="F878" s="40"/>
      <c r="G878" s="4"/>
      <c r="H878" s="4"/>
      <c r="K878" s="41" t="str">
        <f>IFERROR(__xludf.DUMMYFUNCTION("""COMPUTED_VALUE"""),"")</f>
        <v/>
      </c>
      <c r="L878" s="42" t="s">
        <v>79</v>
      </c>
      <c r="M878" s="42" t="s">
        <v>79</v>
      </c>
    </row>
    <row r="879">
      <c r="A879" s="30"/>
      <c r="B879" s="37" t="s">
        <v>79</v>
      </c>
      <c r="E879" s="21" t="s">
        <v>79</v>
      </c>
      <c r="F879" s="40"/>
      <c r="G879" s="4"/>
      <c r="H879" s="4"/>
      <c r="K879" s="41" t="str">
        <f>IFERROR(__xludf.DUMMYFUNCTION("""COMPUTED_VALUE"""),"")</f>
        <v/>
      </c>
      <c r="L879" s="42" t="s">
        <v>79</v>
      </c>
      <c r="M879" s="42" t="s">
        <v>79</v>
      </c>
    </row>
    <row r="880">
      <c r="A880" s="30"/>
      <c r="B880" s="37" t="s">
        <v>79</v>
      </c>
      <c r="E880" s="21" t="s">
        <v>79</v>
      </c>
      <c r="F880" s="40"/>
      <c r="G880" s="4"/>
      <c r="H880" s="4"/>
      <c r="K880" s="41" t="str">
        <f>IFERROR(__xludf.DUMMYFUNCTION("""COMPUTED_VALUE"""),"")</f>
        <v/>
      </c>
      <c r="L880" s="42" t="s">
        <v>79</v>
      </c>
      <c r="M880" s="42" t="s">
        <v>79</v>
      </c>
    </row>
    <row r="881">
      <c r="A881" s="30"/>
      <c r="B881" s="37" t="s">
        <v>79</v>
      </c>
      <c r="E881" s="21" t="s">
        <v>79</v>
      </c>
      <c r="F881" s="40"/>
      <c r="G881" s="4"/>
      <c r="H881" s="4"/>
      <c r="K881" s="41" t="str">
        <f>IFERROR(__xludf.DUMMYFUNCTION("""COMPUTED_VALUE"""),"")</f>
        <v/>
      </c>
      <c r="L881" s="42" t="s">
        <v>79</v>
      </c>
      <c r="M881" s="42" t="s">
        <v>79</v>
      </c>
    </row>
    <row r="882">
      <c r="A882" s="30"/>
      <c r="B882" s="37" t="s">
        <v>79</v>
      </c>
      <c r="E882" s="21" t="s">
        <v>79</v>
      </c>
      <c r="F882" s="40"/>
      <c r="G882" s="4"/>
      <c r="H882" s="4"/>
      <c r="K882" s="41" t="str">
        <f>IFERROR(__xludf.DUMMYFUNCTION("""COMPUTED_VALUE"""),"")</f>
        <v/>
      </c>
      <c r="L882" s="42" t="s">
        <v>79</v>
      </c>
      <c r="M882" s="42" t="s">
        <v>79</v>
      </c>
    </row>
    <row r="883">
      <c r="A883" s="30"/>
      <c r="B883" s="37" t="s">
        <v>79</v>
      </c>
      <c r="E883" s="21" t="s">
        <v>79</v>
      </c>
      <c r="F883" s="40"/>
      <c r="G883" s="4"/>
      <c r="H883" s="4"/>
      <c r="K883" s="41" t="str">
        <f>IFERROR(__xludf.DUMMYFUNCTION("""COMPUTED_VALUE"""),"")</f>
        <v/>
      </c>
      <c r="L883" s="42" t="s">
        <v>79</v>
      </c>
      <c r="M883" s="42" t="s">
        <v>79</v>
      </c>
    </row>
    <row r="884">
      <c r="A884" s="30"/>
      <c r="B884" s="37" t="s">
        <v>79</v>
      </c>
      <c r="E884" s="21" t="s">
        <v>79</v>
      </c>
      <c r="F884" s="40"/>
      <c r="G884" s="4"/>
      <c r="H884" s="4"/>
      <c r="K884" s="41" t="str">
        <f>IFERROR(__xludf.DUMMYFUNCTION("""COMPUTED_VALUE"""),"")</f>
        <v/>
      </c>
      <c r="L884" s="42" t="s">
        <v>79</v>
      </c>
      <c r="M884" s="42" t="s">
        <v>79</v>
      </c>
    </row>
    <row r="885">
      <c r="A885" s="30"/>
      <c r="B885" s="37" t="s">
        <v>79</v>
      </c>
      <c r="E885" s="21" t="s">
        <v>79</v>
      </c>
      <c r="F885" s="40"/>
      <c r="G885" s="4"/>
      <c r="H885" s="4"/>
      <c r="K885" s="41" t="str">
        <f>IFERROR(__xludf.DUMMYFUNCTION("""COMPUTED_VALUE"""),"")</f>
        <v/>
      </c>
      <c r="L885" s="42" t="s">
        <v>79</v>
      </c>
      <c r="M885" s="42" t="s">
        <v>79</v>
      </c>
    </row>
    <row r="886">
      <c r="A886" s="30"/>
      <c r="B886" s="37" t="s">
        <v>79</v>
      </c>
      <c r="E886" s="21" t="s">
        <v>79</v>
      </c>
      <c r="F886" s="40"/>
      <c r="G886" s="4"/>
      <c r="H886" s="4"/>
      <c r="K886" s="41" t="str">
        <f>IFERROR(__xludf.DUMMYFUNCTION("""COMPUTED_VALUE"""),"")</f>
        <v/>
      </c>
      <c r="L886" s="42" t="s">
        <v>79</v>
      </c>
      <c r="M886" s="42" t="s">
        <v>79</v>
      </c>
    </row>
    <row r="887">
      <c r="A887" s="30"/>
      <c r="B887" s="37" t="s">
        <v>79</v>
      </c>
      <c r="E887" s="21" t="s">
        <v>79</v>
      </c>
      <c r="F887" s="40"/>
      <c r="G887" s="4"/>
      <c r="H887" s="4"/>
      <c r="K887" s="41" t="str">
        <f>IFERROR(__xludf.DUMMYFUNCTION("""COMPUTED_VALUE"""),"")</f>
        <v/>
      </c>
      <c r="L887" s="42" t="s">
        <v>79</v>
      </c>
      <c r="M887" s="42" t="s">
        <v>79</v>
      </c>
    </row>
    <row r="888">
      <c r="A888" s="30"/>
      <c r="B888" s="37" t="s">
        <v>79</v>
      </c>
      <c r="E888" s="21" t="s">
        <v>79</v>
      </c>
      <c r="F888" s="40"/>
      <c r="G888" s="4"/>
      <c r="H888" s="4"/>
      <c r="K888" s="41" t="str">
        <f>IFERROR(__xludf.DUMMYFUNCTION("""COMPUTED_VALUE"""),"")</f>
        <v/>
      </c>
      <c r="L888" s="42" t="s">
        <v>79</v>
      </c>
      <c r="M888" s="42" t="s">
        <v>79</v>
      </c>
    </row>
    <row r="889">
      <c r="A889" s="30"/>
      <c r="B889" s="37" t="s">
        <v>79</v>
      </c>
      <c r="E889" s="21" t="s">
        <v>79</v>
      </c>
      <c r="F889" s="40"/>
      <c r="G889" s="4"/>
      <c r="H889" s="4"/>
      <c r="K889" s="41" t="str">
        <f>IFERROR(__xludf.DUMMYFUNCTION("""COMPUTED_VALUE"""),"")</f>
        <v/>
      </c>
      <c r="L889" s="42" t="s">
        <v>79</v>
      </c>
      <c r="M889" s="42" t="s">
        <v>79</v>
      </c>
    </row>
    <row r="890">
      <c r="A890" s="30"/>
      <c r="B890" s="37" t="s">
        <v>79</v>
      </c>
      <c r="E890" s="21" t="s">
        <v>79</v>
      </c>
      <c r="F890" s="40"/>
      <c r="G890" s="4"/>
      <c r="H890" s="4"/>
      <c r="K890" s="41" t="str">
        <f>IFERROR(__xludf.DUMMYFUNCTION("""COMPUTED_VALUE"""),"")</f>
        <v/>
      </c>
      <c r="L890" s="42" t="s">
        <v>79</v>
      </c>
      <c r="M890" s="42" t="s">
        <v>79</v>
      </c>
    </row>
    <row r="891">
      <c r="A891" s="30"/>
      <c r="B891" s="37" t="s">
        <v>79</v>
      </c>
      <c r="E891" s="21" t="s">
        <v>79</v>
      </c>
      <c r="F891" s="40"/>
      <c r="G891" s="4"/>
      <c r="H891" s="4"/>
      <c r="K891" s="41" t="str">
        <f>IFERROR(__xludf.DUMMYFUNCTION("""COMPUTED_VALUE"""),"")</f>
        <v/>
      </c>
      <c r="L891" s="42" t="s">
        <v>79</v>
      </c>
      <c r="M891" s="42" t="s">
        <v>79</v>
      </c>
    </row>
    <row r="892">
      <c r="A892" s="30"/>
      <c r="B892" s="37" t="s">
        <v>79</v>
      </c>
      <c r="E892" s="21" t="s">
        <v>79</v>
      </c>
      <c r="F892" s="40"/>
      <c r="G892" s="4"/>
      <c r="H892" s="4"/>
      <c r="K892" s="41" t="str">
        <f>IFERROR(__xludf.DUMMYFUNCTION("""COMPUTED_VALUE"""),"")</f>
        <v/>
      </c>
      <c r="L892" s="42" t="s">
        <v>79</v>
      </c>
      <c r="M892" s="42" t="s">
        <v>79</v>
      </c>
    </row>
    <row r="893">
      <c r="A893" s="30"/>
      <c r="B893" s="37" t="s">
        <v>79</v>
      </c>
      <c r="E893" s="21" t="s">
        <v>79</v>
      </c>
      <c r="F893" s="40"/>
      <c r="G893" s="4"/>
      <c r="H893" s="4"/>
      <c r="K893" s="41" t="str">
        <f>IFERROR(__xludf.DUMMYFUNCTION("""COMPUTED_VALUE"""),"")</f>
        <v/>
      </c>
      <c r="L893" s="42" t="s">
        <v>79</v>
      </c>
      <c r="M893" s="42" t="s">
        <v>79</v>
      </c>
    </row>
    <row r="894">
      <c r="A894" s="30"/>
      <c r="B894" s="37" t="s">
        <v>79</v>
      </c>
      <c r="E894" s="21" t="s">
        <v>79</v>
      </c>
      <c r="F894" s="40"/>
      <c r="G894" s="4"/>
      <c r="H894" s="4"/>
      <c r="K894" s="41" t="str">
        <f>IFERROR(__xludf.DUMMYFUNCTION("""COMPUTED_VALUE"""),"")</f>
        <v/>
      </c>
      <c r="L894" s="42" t="s">
        <v>79</v>
      </c>
      <c r="M894" s="42" t="s">
        <v>79</v>
      </c>
    </row>
    <row r="895">
      <c r="A895" s="30"/>
      <c r="B895" s="37" t="s">
        <v>79</v>
      </c>
      <c r="E895" s="21" t="s">
        <v>79</v>
      </c>
      <c r="F895" s="40"/>
      <c r="G895" s="4"/>
      <c r="H895" s="4"/>
      <c r="K895" s="41" t="str">
        <f>IFERROR(__xludf.DUMMYFUNCTION("""COMPUTED_VALUE"""),"")</f>
        <v/>
      </c>
      <c r="L895" s="42" t="s">
        <v>79</v>
      </c>
      <c r="M895" s="42" t="s">
        <v>79</v>
      </c>
    </row>
    <row r="896">
      <c r="A896" s="30"/>
      <c r="B896" s="37" t="s">
        <v>79</v>
      </c>
      <c r="E896" s="21" t="s">
        <v>79</v>
      </c>
      <c r="F896" s="40"/>
      <c r="G896" s="4"/>
      <c r="H896" s="4"/>
      <c r="K896" s="41" t="str">
        <f>IFERROR(__xludf.DUMMYFUNCTION("""COMPUTED_VALUE"""),"")</f>
        <v/>
      </c>
      <c r="L896" s="42" t="s">
        <v>79</v>
      </c>
      <c r="M896" s="42" t="s">
        <v>79</v>
      </c>
    </row>
    <row r="897">
      <c r="A897" s="30"/>
      <c r="B897" s="37" t="s">
        <v>79</v>
      </c>
      <c r="E897" s="21" t="s">
        <v>79</v>
      </c>
      <c r="F897" s="40"/>
      <c r="G897" s="4"/>
      <c r="H897" s="4"/>
      <c r="K897" s="41" t="str">
        <f>IFERROR(__xludf.DUMMYFUNCTION("""COMPUTED_VALUE"""),"")</f>
        <v/>
      </c>
      <c r="L897" s="42" t="s">
        <v>79</v>
      </c>
      <c r="M897" s="42" t="s">
        <v>79</v>
      </c>
    </row>
    <row r="898">
      <c r="A898" s="30"/>
      <c r="B898" s="37" t="s">
        <v>79</v>
      </c>
      <c r="E898" s="21" t="s">
        <v>79</v>
      </c>
      <c r="F898" s="40"/>
      <c r="G898" s="4"/>
      <c r="H898" s="4"/>
      <c r="K898" s="41" t="str">
        <f>IFERROR(__xludf.DUMMYFUNCTION("""COMPUTED_VALUE"""),"")</f>
        <v/>
      </c>
      <c r="L898" s="42" t="s">
        <v>79</v>
      </c>
      <c r="M898" s="42" t="s">
        <v>79</v>
      </c>
    </row>
    <row r="899">
      <c r="A899" s="30"/>
      <c r="B899" s="37" t="s">
        <v>79</v>
      </c>
      <c r="E899" s="21" t="s">
        <v>79</v>
      </c>
      <c r="F899" s="40"/>
      <c r="G899" s="4"/>
      <c r="H899" s="4"/>
      <c r="K899" s="41" t="str">
        <f>IFERROR(__xludf.DUMMYFUNCTION("""COMPUTED_VALUE"""),"")</f>
        <v/>
      </c>
      <c r="L899" s="42" t="s">
        <v>79</v>
      </c>
      <c r="M899" s="42" t="s">
        <v>79</v>
      </c>
    </row>
    <row r="900">
      <c r="A900" s="30"/>
      <c r="B900" s="37" t="s">
        <v>79</v>
      </c>
      <c r="E900" s="21" t="s">
        <v>79</v>
      </c>
      <c r="F900" s="40"/>
      <c r="G900" s="4"/>
      <c r="H900" s="4"/>
      <c r="K900" s="41" t="str">
        <f>IFERROR(__xludf.DUMMYFUNCTION("""COMPUTED_VALUE"""),"")</f>
        <v/>
      </c>
      <c r="L900" s="42" t="s">
        <v>79</v>
      </c>
      <c r="M900" s="42" t="s">
        <v>79</v>
      </c>
    </row>
    <row r="901">
      <c r="A901" s="30"/>
      <c r="B901" s="37" t="s">
        <v>79</v>
      </c>
      <c r="E901" s="21" t="s">
        <v>79</v>
      </c>
      <c r="F901" s="40"/>
      <c r="G901" s="4"/>
      <c r="H901" s="4"/>
      <c r="K901" s="41" t="str">
        <f>IFERROR(__xludf.DUMMYFUNCTION("""COMPUTED_VALUE"""),"")</f>
        <v/>
      </c>
      <c r="L901" s="42" t="s">
        <v>79</v>
      </c>
      <c r="M901" s="42" t="s">
        <v>79</v>
      </c>
    </row>
    <row r="902">
      <c r="A902" s="30"/>
      <c r="B902" s="37" t="s">
        <v>79</v>
      </c>
      <c r="E902" s="21" t="s">
        <v>79</v>
      </c>
      <c r="F902" s="40"/>
      <c r="G902" s="4"/>
      <c r="H902" s="4"/>
      <c r="K902" s="41" t="str">
        <f>IFERROR(__xludf.DUMMYFUNCTION("""COMPUTED_VALUE"""),"")</f>
        <v/>
      </c>
      <c r="L902" s="42" t="s">
        <v>79</v>
      </c>
      <c r="M902" s="42" t="s">
        <v>79</v>
      </c>
    </row>
    <row r="903">
      <c r="A903" s="30"/>
      <c r="B903" s="37" t="s">
        <v>79</v>
      </c>
      <c r="E903" s="21" t="s">
        <v>79</v>
      </c>
      <c r="F903" s="40"/>
      <c r="G903" s="4"/>
      <c r="H903" s="4"/>
      <c r="K903" s="41" t="str">
        <f>IFERROR(__xludf.DUMMYFUNCTION("""COMPUTED_VALUE"""),"")</f>
        <v/>
      </c>
      <c r="L903" s="42" t="s">
        <v>79</v>
      </c>
      <c r="M903" s="42" t="s">
        <v>79</v>
      </c>
    </row>
    <row r="904">
      <c r="A904" s="30"/>
      <c r="B904" s="37" t="s">
        <v>79</v>
      </c>
      <c r="E904" s="21" t="s">
        <v>79</v>
      </c>
      <c r="F904" s="40"/>
      <c r="G904" s="4"/>
      <c r="H904" s="4"/>
      <c r="K904" s="41" t="str">
        <f>IFERROR(__xludf.DUMMYFUNCTION("""COMPUTED_VALUE"""),"")</f>
        <v/>
      </c>
      <c r="L904" s="42" t="s">
        <v>79</v>
      </c>
      <c r="M904" s="42" t="s">
        <v>79</v>
      </c>
    </row>
    <row r="905">
      <c r="A905" s="30"/>
      <c r="B905" s="37" t="s">
        <v>79</v>
      </c>
      <c r="E905" s="21" t="s">
        <v>79</v>
      </c>
      <c r="F905" s="40"/>
      <c r="G905" s="4"/>
      <c r="H905" s="4"/>
      <c r="K905" s="41" t="str">
        <f>IFERROR(__xludf.DUMMYFUNCTION("""COMPUTED_VALUE"""),"")</f>
        <v/>
      </c>
      <c r="L905" s="42" t="s">
        <v>79</v>
      </c>
      <c r="M905" s="42" t="s">
        <v>79</v>
      </c>
    </row>
    <row r="906">
      <c r="A906" s="30"/>
      <c r="B906" s="37" t="s">
        <v>79</v>
      </c>
      <c r="E906" s="21" t="s">
        <v>79</v>
      </c>
      <c r="F906" s="40"/>
      <c r="G906" s="4"/>
      <c r="H906" s="4"/>
      <c r="K906" s="41" t="str">
        <f>IFERROR(__xludf.DUMMYFUNCTION("""COMPUTED_VALUE"""),"")</f>
        <v/>
      </c>
      <c r="L906" s="42" t="s">
        <v>79</v>
      </c>
      <c r="M906" s="42" t="s">
        <v>79</v>
      </c>
    </row>
    <row r="907">
      <c r="A907" s="30"/>
      <c r="B907" s="37" t="s">
        <v>79</v>
      </c>
      <c r="E907" s="21" t="s">
        <v>79</v>
      </c>
      <c r="F907" s="40"/>
      <c r="G907" s="4"/>
      <c r="H907" s="4"/>
      <c r="K907" s="41" t="str">
        <f>IFERROR(__xludf.DUMMYFUNCTION("""COMPUTED_VALUE"""),"")</f>
        <v/>
      </c>
      <c r="L907" s="42" t="s">
        <v>79</v>
      </c>
      <c r="M907" s="42" t="s">
        <v>79</v>
      </c>
    </row>
    <row r="908">
      <c r="A908" s="30"/>
      <c r="B908" s="37" t="s">
        <v>79</v>
      </c>
      <c r="E908" s="21" t="s">
        <v>79</v>
      </c>
      <c r="F908" s="40"/>
      <c r="G908" s="4"/>
      <c r="H908" s="4"/>
      <c r="K908" s="41" t="str">
        <f>IFERROR(__xludf.DUMMYFUNCTION("""COMPUTED_VALUE"""),"")</f>
        <v/>
      </c>
      <c r="L908" s="42" t="s">
        <v>79</v>
      </c>
      <c r="M908" s="42" t="s">
        <v>79</v>
      </c>
    </row>
    <row r="909">
      <c r="A909" s="30"/>
      <c r="B909" s="37" t="s">
        <v>79</v>
      </c>
      <c r="E909" s="21" t="s">
        <v>79</v>
      </c>
      <c r="F909" s="40"/>
      <c r="G909" s="4"/>
      <c r="H909" s="4"/>
      <c r="K909" s="41" t="str">
        <f>IFERROR(__xludf.DUMMYFUNCTION("""COMPUTED_VALUE"""),"")</f>
        <v/>
      </c>
      <c r="L909" s="42" t="s">
        <v>79</v>
      </c>
      <c r="M909" s="42" t="s">
        <v>79</v>
      </c>
    </row>
    <row r="910">
      <c r="A910" s="30"/>
      <c r="B910" s="37" t="s">
        <v>79</v>
      </c>
      <c r="E910" s="21" t="s">
        <v>79</v>
      </c>
      <c r="F910" s="40"/>
      <c r="G910" s="4"/>
      <c r="H910" s="4"/>
      <c r="K910" s="41" t="str">
        <f>IFERROR(__xludf.DUMMYFUNCTION("""COMPUTED_VALUE"""),"")</f>
        <v/>
      </c>
      <c r="L910" s="42" t="s">
        <v>79</v>
      </c>
      <c r="M910" s="42" t="s">
        <v>79</v>
      </c>
    </row>
    <row r="911">
      <c r="A911" s="30"/>
      <c r="B911" s="37" t="s">
        <v>79</v>
      </c>
      <c r="E911" s="21" t="s">
        <v>79</v>
      </c>
      <c r="F911" s="40"/>
      <c r="G911" s="4"/>
      <c r="H911" s="4"/>
      <c r="K911" s="41" t="str">
        <f>IFERROR(__xludf.DUMMYFUNCTION("""COMPUTED_VALUE"""),"")</f>
        <v/>
      </c>
      <c r="L911" s="42" t="s">
        <v>79</v>
      </c>
      <c r="M911" s="42" t="s">
        <v>79</v>
      </c>
    </row>
    <row r="912">
      <c r="A912" s="30"/>
      <c r="B912" s="37" t="s">
        <v>79</v>
      </c>
      <c r="E912" s="21" t="s">
        <v>79</v>
      </c>
      <c r="F912" s="40"/>
      <c r="G912" s="4"/>
      <c r="H912" s="4"/>
      <c r="K912" s="41" t="str">
        <f>IFERROR(__xludf.DUMMYFUNCTION("""COMPUTED_VALUE"""),"")</f>
        <v/>
      </c>
      <c r="L912" s="42" t="s">
        <v>79</v>
      </c>
      <c r="M912" s="42" t="s">
        <v>79</v>
      </c>
    </row>
    <row r="913">
      <c r="A913" s="30"/>
      <c r="B913" s="37" t="s">
        <v>79</v>
      </c>
      <c r="E913" s="21" t="s">
        <v>79</v>
      </c>
      <c r="F913" s="40"/>
      <c r="G913" s="4"/>
      <c r="H913" s="4"/>
      <c r="K913" s="41" t="str">
        <f>IFERROR(__xludf.DUMMYFUNCTION("""COMPUTED_VALUE"""),"")</f>
        <v/>
      </c>
      <c r="L913" s="42" t="s">
        <v>79</v>
      </c>
      <c r="M913" s="42" t="s">
        <v>79</v>
      </c>
    </row>
    <row r="914">
      <c r="A914" s="30"/>
      <c r="B914" s="37" t="s">
        <v>79</v>
      </c>
      <c r="E914" s="21" t="s">
        <v>79</v>
      </c>
      <c r="F914" s="40"/>
      <c r="G914" s="4"/>
      <c r="H914" s="4"/>
      <c r="K914" s="41" t="str">
        <f>IFERROR(__xludf.DUMMYFUNCTION("""COMPUTED_VALUE"""),"")</f>
        <v/>
      </c>
      <c r="L914" s="42" t="s">
        <v>79</v>
      </c>
      <c r="M914" s="42" t="s">
        <v>79</v>
      </c>
    </row>
    <row r="915">
      <c r="A915" s="30"/>
      <c r="B915" s="37" t="s">
        <v>79</v>
      </c>
      <c r="E915" s="21" t="s">
        <v>79</v>
      </c>
      <c r="F915" s="40"/>
      <c r="G915" s="4"/>
      <c r="H915" s="4"/>
      <c r="K915" s="41" t="str">
        <f>IFERROR(__xludf.DUMMYFUNCTION("""COMPUTED_VALUE"""),"")</f>
        <v/>
      </c>
      <c r="L915" s="42" t="s">
        <v>79</v>
      </c>
      <c r="M915" s="42" t="s">
        <v>79</v>
      </c>
    </row>
    <row r="916">
      <c r="A916" s="30"/>
      <c r="B916" s="37" t="s">
        <v>79</v>
      </c>
      <c r="E916" s="21" t="s">
        <v>79</v>
      </c>
      <c r="F916" s="40"/>
      <c r="G916" s="4"/>
      <c r="H916" s="4"/>
      <c r="K916" s="41" t="str">
        <f>IFERROR(__xludf.DUMMYFUNCTION("""COMPUTED_VALUE"""),"")</f>
        <v/>
      </c>
      <c r="L916" s="42" t="s">
        <v>79</v>
      </c>
      <c r="M916" s="42" t="s">
        <v>79</v>
      </c>
    </row>
    <row r="917">
      <c r="A917" s="30"/>
      <c r="B917" s="37" t="s">
        <v>79</v>
      </c>
      <c r="E917" s="21" t="s">
        <v>79</v>
      </c>
      <c r="F917" s="40"/>
      <c r="G917" s="4"/>
      <c r="H917" s="4"/>
      <c r="K917" s="41" t="str">
        <f>IFERROR(__xludf.DUMMYFUNCTION("""COMPUTED_VALUE"""),"")</f>
        <v/>
      </c>
      <c r="L917" s="42" t="s">
        <v>79</v>
      </c>
      <c r="M917" s="42" t="s">
        <v>79</v>
      </c>
    </row>
    <row r="918">
      <c r="A918" s="30"/>
      <c r="B918" s="37" t="s">
        <v>79</v>
      </c>
      <c r="E918" s="21" t="s">
        <v>79</v>
      </c>
      <c r="F918" s="40"/>
      <c r="G918" s="4"/>
      <c r="H918" s="4"/>
      <c r="K918" s="41" t="str">
        <f>IFERROR(__xludf.DUMMYFUNCTION("""COMPUTED_VALUE"""),"")</f>
        <v/>
      </c>
      <c r="L918" s="42" t="s">
        <v>79</v>
      </c>
      <c r="M918" s="42" t="s">
        <v>79</v>
      </c>
    </row>
    <row r="919">
      <c r="A919" s="30"/>
      <c r="B919" s="37" t="s">
        <v>79</v>
      </c>
      <c r="E919" s="21" t="s">
        <v>79</v>
      </c>
      <c r="F919" s="40"/>
      <c r="G919" s="4"/>
      <c r="H919" s="4"/>
      <c r="K919" s="41" t="str">
        <f>IFERROR(__xludf.DUMMYFUNCTION("""COMPUTED_VALUE"""),"")</f>
        <v/>
      </c>
      <c r="L919" s="42" t="s">
        <v>79</v>
      </c>
      <c r="M919" s="42" t="s">
        <v>79</v>
      </c>
    </row>
    <row r="920">
      <c r="A920" s="30"/>
      <c r="B920" s="37" t="s">
        <v>79</v>
      </c>
      <c r="E920" s="21" t="s">
        <v>79</v>
      </c>
      <c r="F920" s="40"/>
      <c r="G920" s="4"/>
      <c r="H920" s="4"/>
      <c r="K920" s="41" t="str">
        <f>IFERROR(__xludf.DUMMYFUNCTION("""COMPUTED_VALUE"""),"")</f>
        <v/>
      </c>
      <c r="L920" s="42" t="s">
        <v>79</v>
      </c>
      <c r="M920" s="42" t="s">
        <v>79</v>
      </c>
    </row>
    <row r="921">
      <c r="A921" s="30"/>
      <c r="B921" s="37" t="s">
        <v>79</v>
      </c>
      <c r="E921" s="21" t="s">
        <v>79</v>
      </c>
      <c r="F921" s="40"/>
      <c r="G921" s="4"/>
      <c r="H921" s="4"/>
      <c r="K921" s="41" t="str">
        <f>IFERROR(__xludf.DUMMYFUNCTION("""COMPUTED_VALUE"""),"")</f>
        <v/>
      </c>
      <c r="L921" s="42" t="s">
        <v>79</v>
      </c>
      <c r="M921" s="42" t="s">
        <v>79</v>
      </c>
    </row>
    <row r="922">
      <c r="A922" s="30"/>
      <c r="B922" s="37" t="s">
        <v>79</v>
      </c>
      <c r="E922" s="21" t="s">
        <v>79</v>
      </c>
      <c r="F922" s="40"/>
      <c r="G922" s="4"/>
      <c r="H922" s="4"/>
      <c r="K922" s="41" t="str">
        <f>IFERROR(__xludf.DUMMYFUNCTION("""COMPUTED_VALUE"""),"")</f>
        <v/>
      </c>
      <c r="L922" s="42" t="s">
        <v>79</v>
      </c>
      <c r="M922" s="42" t="s">
        <v>79</v>
      </c>
    </row>
    <row r="923">
      <c r="A923" s="30"/>
      <c r="B923" s="37" t="s">
        <v>79</v>
      </c>
      <c r="E923" s="21" t="s">
        <v>79</v>
      </c>
      <c r="F923" s="40"/>
      <c r="G923" s="4"/>
      <c r="H923" s="4"/>
      <c r="K923" s="41" t="str">
        <f>IFERROR(__xludf.DUMMYFUNCTION("""COMPUTED_VALUE"""),"")</f>
        <v/>
      </c>
      <c r="L923" s="42" t="s">
        <v>79</v>
      </c>
      <c r="M923" s="42" t="s">
        <v>79</v>
      </c>
    </row>
    <row r="924">
      <c r="A924" s="30"/>
      <c r="B924" s="37" t="s">
        <v>79</v>
      </c>
      <c r="E924" s="21" t="s">
        <v>79</v>
      </c>
      <c r="F924" s="40"/>
      <c r="G924" s="4"/>
      <c r="H924" s="4"/>
      <c r="K924" s="41" t="str">
        <f>IFERROR(__xludf.DUMMYFUNCTION("""COMPUTED_VALUE"""),"")</f>
        <v/>
      </c>
      <c r="L924" s="42" t="s">
        <v>79</v>
      </c>
      <c r="M924" s="42" t="s">
        <v>79</v>
      </c>
    </row>
    <row r="925">
      <c r="A925" s="30"/>
      <c r="B925" s="37" t="s">
        <v>79</v>
      </c>
      <c r="E925" s="21" t="s">
        <v>79</v>
      </c>
      <c r="F925" s="40"/>
      <c r="G925" s="4"/>
      <c r="H925" s="4"/>
      <c r="K925" s="41" t="str">
        <f>IFERROR(__xludf.DUMMYFUNCTION("""COMPUTED_VALUE"""),"")</f>
        <v/>
      </c>
      <c r="L925" s="42" t="s">
        <v>79</v>
      </c>
      <c r="M925" s="42" t="s">
        <v>79</v>
      </c>
    </row>
    <row r="926">
      <c r="A926" s="30"/>
      <c r="B926" s="37" t="s">
        <v>79</v>
      </c>
      <c r="E926" s="21" t="s">
        <v>79</v>
      </c>
      <c r="F926" s="40"/>
      <c r="G926" s="4"/>
      <c r="H926" s="4"/>
      <c r="K926" s="41" t="str">
        <f>IFERROR(__xludf.DUMMYFUNCTION("""COMPUTED_VALUE"""),"")</f>
        <v/>
      </c>
      <c r="L926" s="42" t="s">
        <v>79</v>
      </c>
      <c r="M926" s="42" t="s">
        <v>79</v>
      </c>
    </row>
    <row r="927">
      <c r="A927" s="30"/>
      <c r="B927" s="37" t="s">
        <v>79</v>
      </c>
      <c r="E927" s="21" t="s">
        <v>79</v>
      </c>
      <c r="F927" s="40"/>
      <c r="G927" s="4"/>
      <c r="H927" s="4"/>
      <c r="K927" s="41" t="str">
        <f>IFERROR(__xludf.DUMMYFUNCTION("""COMPUTED_VALUE"""),"")</f>
        <v/>
      </c>
      <c r="L927" s="42" t="s">
        <v>79</v>
      </c>
      <c r="M927" s="42" t="s">
        <v>79</v>
      </c>
    </row>
    <row r="928">
      <c r="A928" s="30"/>
      <c r="B928" s="37" t="s">
        <v>79</v>
      </c>
      <c r="E928" s="21" t="s">
        <v>79</v>
      </c>
      <c r="F928" s="40"/>
      <c r="G928" s="4"/>
      <c r="H928" s="4"/>
      <c r="K928" s="41" t="str">
        <f>IFERROR(__xludf.DUMMYFUNCTION("""COMPUTED_VALUE"""),"")</f>
        <v/>
      </c>
      <c r="L928" s="42" t="s">
        <v>79</v>
      </c>
      <c r="M928" s="42" t="s">
        <v>79</v>
      </c>
    </row>
    <row r="929">
      <c r="A929" s="30"/>
      <c r="B929" s="37" t="s">
        <v>79</v>
      </c>
      <c r="E929" s="21" t="s">
        <v>79</v>
      </c>
      <c r="F929" s="40"/>
      <c r="G929" s="4"/>
      <c r="H929" s="4"/>
      <c r="K929" s="41" t="str">
        <f>IFERROR(__xludf.DUMMYFUNCTION("""COMPUTED_VALUE"""),"")</f>
        <v/>
      </c>
      <c r="L929" s="42" t="s">
        <v>79</v>
      </c>
      <c r="M929" s="42" t="s">
        <v>79</v>
      </c>
    </row>
    <row r="930">
      <c r="A930" s="30"/>
      <c r="B930" s="37" t="s">
        <v>79</v>
      </c>
      <c r="E930" s="21" t="s">
        <v>79</v>
      </c>
      <c r="F930" s="40"/>
      <c r="G930" s="4"/>
      <c r="H930" s="4"/>
      <c r="K930" s="41" t="str">
        <f>IFERROR(__xludf.DUMMYFUNCTION("""COMPUTED_VALUE"""),"")</f>
        <v/>
      </c>
      <c r="L930" s="42" t="s">
        <v>79</v>
      </c>
      <c r="M930" s="42" t="s">
        <v>79</v>
      </c>
    </row>
    <row r="931">
      <c r="A931" s="30"/>
      <c r="B931" s="37" t="s">
        <v>79</v>
      </c>
      <c r="E931" s="21" t="s">
        <v>79</v>
      </c>
      <c r="F931" s="40"/>
      <c r="G931" s="4"/>
      <c r="H931" s="4"/>
      <c r="K931" s="41" t="str">
        <f>IFERROR(__xludf.DUMMYFUNCTION("""COMPUTED_VALUE"""),"")</f>
        <v/>
      </c>
      <c r="L931" s="42" t="s">
        <v>79</v>
      </c>
      <c r="M931" s="42" t="s">
        <v>79</v>
      </c>
    </row>
    <row r="932">
      <c r="A932" s="30"/>
      <c r="B932" s="37" t="s">
        <v>79</v>
      </c>
      <c r="E932" s="21" t="s">
        <v>79</v>
      </c>
      <c r="F932" s="40"/>
      <c r="G932" s="4"/>
      <c r="H932" s="4"/>
      <c r="K932" s="41" t="str">
        <f>IFERROR(__xludf.DUMMYFUNCTION("""COMPUTED_VALUE"""),"")</f>
        <v/>
      </c>
      <c r="L932" s="42" t="s">
        <v>79</v>
      </c>
      <c r="M932" s="42" t="s">
        <v>79</v>
      </c>
    </row>
    <row r="933">
      <c r="A933" s="30"/>
      <c r="B933" s="37" t="s">
        <v>79</v>
      </c>
      <c r="E933" s="21" t="s">
        <v>79</v>
      </c>
      <c r="F933" s="40"/>
      <c r="G933" s="4"/>
      <c r="H933" s="4"/>
      <c r="K933" s="41" t="str">
        <f>IFERROR(__xludf.DUMMYFUNCTION("""COMPUTED_VALUE"""),"")</f>
        <v/>
      </c>
      <c r="L933" s="42" t="s">
        <v>79</v>
      </c>
      <c r="M933" s="42" t="s">
        <v>79</v>
      </c>
    </row>
    <row r="934">
      <c r="A934" s="30"/>
      <c r="B934" s="37" t="s">
        <v>79</v>
      </c>
      <c r="E934" s="21" t="s">
        <v>79</v>
      </c>
      <c r="F934" s="40"/>
      <c r="G934" s="4"/>
      <c r="H934" s="4"/>
      <c r="K934" s="41" t="str">
        <f>IFERROR(__xludf.DUMMYFUNCTION("""COMPUTED_VALUE"""),"")</f>
        <v/>
      </c>
      <c r="L934" s="42" t="s">
        <v>79</v>
      </c>
      <c r="M934" s="42" t="s">
        <v>79</v>
      </c>
    </row>
    <row r="935">
      <c r="A935" s="30"/>
      <c r="B935" s="37" t="s">
        <v>79</v>
      </c>
      <c r="E935" s="21" t="s">
        <v>79</v>
      </c>
      <c r="F935" s="40"/>
      <c r="G935" s="4"/>
      <c r="H935" s="4"/>
      <c r="K935" s="41" t="str">
        <f>IFERROR(__xludf.DUMMYFUNCTION("""COMPUTED_VALUE"""),"")</f>
        <v/>
      </c>
      <c r="L935" s="42" t="s">
        <v>79</v>
      </c>
      <c r="M935" s="42" t="s">
        <v>79</v>
      </c>
    </row>
    <row r="936">
      <c r="A936" s="30"/>
      <c r="B936" s="37" t="s">
        <v>79</v>
      </c>
      <c r="E936" s="21" t="s">
        <v>79</v>
      </c>
      <c r="F936" s="40"/>
      <c r="G936" s="4"/>
      <c r="H936" s="4"/>
      <c r="K936" s="41" t="str">
        <f>IFERROR(__xludf.DUMMYFUNCTION("""COMPUTED_VALUE"""),"")</f>
        <v/>
      </c>
      <c r="L936" s="42" t="s">
        <v>79</v>
      </c>
      <c r="M936" s="42" t="s">
        <v>79</v>
      </c>
    </row>
    <row r="937">
      <c r="A937" s="30"/>
      <c r="B937" s="37" t="s">
        <v>79</v>
      </c>
      <c r="E937" s="21" t="s">
        <v>79</v>
      </c>
      <c r="F937" s="40"/>
      <c r="G937" s="4"/>
      <c r="H937" s="4"/>
      <c r="K937" s="41" t="str">
        <f>IFERROR(__xludf.DUMMYFUNCTION("""COMPUTED_VALUE"""),"")</f>
        <v/>
      </c>
      <c r="L937" s="42" t="s">
        <v>79</v>
      </c>
      <c r="M937" s="42" t="s">
        <v>79</v>
      </c>
    </row>
    <row r="938">
      <c r="A938" s="30"/>
      <c r="B938" s="37" t="s">
        <v>79</v>
      </c>
      <c r="E938" s="21" t="s">
        <v>79</v>
      </c>
      <c r="F938" s="40"/>
      <c r="G938" s="4"/>
      <c r="H938" s="4"/>
      <c r="K938" s="41" t="str">
        <f>IFERROR(__xludf.DUMMYFUNCTION("""COMPUTED_VALUE"""),"")</f>
        <v/>
      </c>
      <c r="L938" s="42" t="s">
        <v>79</v>
      </c>
      <c r="M938" s="42" t="s">
        <v>79</v>
      </c>
    </row>
    <row r="939">
      <c r="A939" s="30"/>
      <c r="B939" s="37" t="s">
        <v>79</v>
      </c>
      <c r="E939" s="21" t="s">
        <v>79</v>
      </c>
      <c r="F939" s="40"/>
      <c r="G939" s="4"/>
      <c r="H939" s="4"/>
      <c r="K939" s="41" t="str">
        <f>IFERROR(__xludf.DUMMYFUNCTION("""COMPUTED_VALUE"""),"")</f>
        <v/>
      </c>
      <c r="L939" s="42" t="s">
        <v>79</v>
      </c>
      <c r="M939" s="42" t="s">
        <v>79</v>
      </c>
    </row>
    <row r="940">
      <c r="A940" s="30"/>
      <c r="B940" s="37" t="s">
        <v>79</v>
      </c>
      <c r="E940" s="21" t="s">
        <v>79</v>
      </c>
      <c r="F940" s="40"/>
      <c r="G940" s="4"/>
      <c r="H940" s="4"/>
      <c r="K940" s="41" t="str">
        <f>IFERROR(__xludf.DUMMYFUNCTION("""COMPUTED_VALUE"""),"")</f>
        <v/>
      </c>
      <c r="L940" s="42" t="s">
        <v>79</v>
      </c>
      <c r="M940" s="42" t="s">
        <v>79</v>
      </c>
    </row>
    <row r="941">
      <c r="A941" s="30"/>
      <c r="B941" s="37" t="s">
        <v>79</v>
      </c>
      <c r="E941" s="21" t="s">
        <v>79</v>
      </c>
      <c r="F941" s="40"/>
      <c r="G941" s="4"/>
      <c r="H941" s="4"/>
      <c r="K941" s="41" t="str">
        <f>IFERROR(__xludf.DUMMYFUNCTION("""COMPUTED_VALUE"""),"")</f>
        <v/>
      </c>
      <c r="L941" s="42" t="s">
        <v>79</v>
      </c>
      <c r="M941" s="42" t="s">
        <v>79</v>
      </c>
    </row>
    <row r="942">
      <c r="A942" s="30"/>
      <c r="B942" s="37" t="s">
        <v>79</v>
      </c>
      <c r="E942" s="21" t="s">
        <v>79</v>
      </c>
      <c r="F942" s="40"/>
      <c r="G942" s="4"/>
      <c r="H942" s="4"/>
      <c r="K942" s="41" t="str">
        <f>IFERROR(__xludf.DUMMYFUNCTION("""COMPUTED_VALUE"""),"")</f>
        <v/>
      </c>
      <c r="L942" s="42" t="s">
        <v>79</v>
      </c>
      <c r="M942" s="42" t="s">
        <v>79</v>
      </c>
    </row>
    <row r="943">
      <c r="A943" s="30"/>
      <c r="B943" s="37" t="s">
        <v>79</v>
      </c>
      <c r="E943" s="21" t="s">
        <v>79</v>
      </c>
      <c r="F943" s="40"/>
      <c r="G943" s="4"/>
      <c r="H943" s="4"/>
      <c r="K943" s="41" t="str">
        <f>IFERROR(__xludf.DUMMYFUNCTION("""COMPUTED_VALUE"""),"")</f>
        <v/>
      </c>
      <c r="L943" s="42" t="s">
        <v>79</v>
      </c>
      <c r="M943" s="42" t="s">
        <v>79</v>
      </c>
    </row>
    <row r="944">
      <c r="A944" s="30"/>
      <c r="B944" s="37" t="s">
        <v>79</v>
      </c>
      <c r="E944" s="21" t="s">
        <v>79</v>
      </c>
      <c r="F944" s="40"/>
      <c r="G944" s="4"/>
      <c r="H944" s="4"/>
      <c r="K944" s="41" t="str">
        <f>IFERROR(__xludf.DUMMYFUNCTION("""COMPUTED_VALUE"""),"")</f>
        <v/>
      </c>
      <c r="L944" s="42" t="s">
        <v>79</v>
      </c>
      <c r="M944" s="42" t="s">
        <v>79</v>
      </c>
    </row>
    <row r="945">
      <c r="A945" s="30"/>
      <c r="B945" s="37" t="s">
        <v>79</v>
      </c>
      <c r="E945" s="21" t="s">
        <v>79</v>
      </c>
      <c r="F945" s="40"/>
      <c r="G945" s="4"/>
      <c r="H945" s="4"/>
      <c r="K945" s="41" t="str">
        <f>IFERROR(__xludf.DUMMYFUNCTION("""COMPUTED_VALUE"""),"")</f>
        <v/>
      </c>
      <c r="L945" s="42" t="s">
        <v>79</v>
      </c>
      <c r="M945" s="42" t="s">
        <v>79</v>
      </c>
    </row>
    <row r="946">
      <c r="A946" s="30"/>
      <c r="B946" s="37" t="s">
        <v>79</v>
      </c>
      <c r="E946" s="21" t="s">
        <v>79</v>
      </c>
      <c r="F946" s="40"/>
      <c r="G946" s="4"/>
      <c r="H946" s="4"/>
      <c r="K946" s="41" t="str">
        <f>IFERROR(__xludf.DUMMYFUNCTION("""COMPUTED_VALUE"""),"")</f>
        <v/>
      </c>
      <c r="L946" s="42" t="s">
        <v>79</v>
      </c>
      <c r="M946" s="42" t="s">
        <v>79</v>
      </c>
    </row>
    <row r="947">
      <c r="A947" s="30"/>
      <c r="B947" s="37" t="s">
        <v>79</v>
      </c>
      <c r="E947" s="21" t="s">
        <v>79</v>
      </c>
      <c r="F947" s="40"/>
      <c r="G947" s="4"/>
      <c r="H947" s="4"/>
      <c r="K947" s="41" t="str">
        <f>IFERROR(__xludf.DUMMYFUNCTION("""COMPUTED_VALUE"""),"")</f>
        <v/>
      </c>
      <c r="L947" s="42" t="s">
        <v>79</v>
      </c>
      <c r="M947" s="42" t="s">
        <v>79</v>
      </c>
    </row>
    <row r="948">
      <c r="A948" s="30"/>
      <c r="B948" s="37" t="s">
        <v>79</v>
      </c>
      <c r="E948" s="21" t="s">
        <v>79</v>
      </c>
      <c r="F948" s="40"/>
      <c r="G948" s="4"/>
      <c r="H948" s="4"/>
      <c r="K948" s="41" t="str">
        <f>IFERROR(__xludf.DUMMYFUNCTION("""COMPUTED_VALUE"""),"")</f>
        <v/>
      </c>
      <c r="L948" s="42" t="s">
        <v>79</v>
      </c>
      <c r="M948" s="42" t="s">
        <v>79</v>
      </c>
    </row>
    <row r="949">
      <c r="A949" s="30"/>
      <c r="B949" s="37" t="s">
        <v>79</v>
      </c>
      <c r="E949" s="21" t="s">
        <v>79</v>
      </c>
      <c r="F949" s="40"/>
      <c r="G949" s="4"/>
      <c r="H949" s="4"/>
      <c r="K949" s="41" t="str">
        <f>IFERROR(__xludf.DUMMYFUNCTION("""COMPUTED_VALUE"""),"")</f>
        <v/>
      </c>
      <c r="L949" s="42" t="s">
        <v>79</v>
      </c>
      <c r="M949" s="42" t="s">
        <v>79</v>
      </c>
    </row>
    <row r="950">
      <c r="A950" s="30"/>
      <c r="B950" s="37" t="s">
        <v>79</v>
      </c>
      <c r="E950" s="21" t="s">
        <v>79</v>
      </c>
      <c r="F950" s="40"/>
      <c r="G950" s="4"/>
      <c r="H950" s="4"/>
      <c r="K950" s="41" t="str">
        <f>IFERROR(__xludf.DUMMYFUNCTION("""COMPUTED_VALUE"""),"")</f>
        <v/>
      </c>
      <c r="L950" s="42" t="s">
        <v>79</v>
      </c>
      <c r="M950" s="42" t="s">
        <v>79</v>
      </c>
    </row>
    <row r="951">
      <c r="A951" s="30"/>
      <c r="B951" s="37" t="s">
        <v>79</v>
      </c>
      <c r="E951" s="21" t="s">
        <v>79</v>
      </c>
      <c r="F951" s="40"/>
      <c r="G951" s="4"/>
      <c r="H951" s="4"/>
      <c r="K951" s="41" t="str">
        <f>IFERROR(__xludf.DUMMYFUNCTION("""COMPUTED_VALUE"""),"")</f>
        <v/>
      </c>
      <c r="L951" s="42" t="s">
        <v>79</v>
      </c>
      <c r="M951" s="42" t="s">
        <v>79</v>
      </c>
    </row>
    <row r="952">
      <c r="A952" s="30"/>
      <c r="B952" s="37" t="s">
        <v>79</v>
      </c>
      <c r="E952" s="21" t="s">
        <v>79</v>
      </c>
      <c r="F952" s="40"/>
      <c r="G952" s="4"/>
      <c r="H952" s="4"/>
      <c r="K952" s="41" t="str">
        <f>IFERROR(__xludf.DUMMYFUNCTION("""COMPUTED_VALUE"""),"")</f>
        <v/>
      </c>
      <c r="L952" s="42" t="s">
        <v>79</v>
      </c>
      <c r="M952" s="42" t="s">
        <v>79</v>
      </c>
    </row>
    <row r="953">
      <c r="A953" s="30"/>
      <c r="B953" s="37" t="s">
        <v>79</v>
      </c>
      <c r="E953" s="21" t="s">
        <v>79</v>
      </c>
      <c r="F953" s="40"/>
      <c r="G953" s="4"/>
      <c r="H953" s="4"/>
      <c r="K953" s="41" t="str">
        <f>IFERROR(__xludf.DUMMYFUNCTION("""COMPUTED_VALUE"""),"")</f>
        <v/>
      </c>
      <c r="L953" s="42" t="s">
        <v>79</v>
      </c>
      <c r="M953" s="42" t="s">
        <v>79</v>
      </c>
    </row>
    <row r="954">
      <c r="A954" s="30"/>
      <c r="B954" s="37" t="s">
        <v>79</v>
      </c>
      <c r="E954" s="21" t="s">
        <v>79</v>
      </c>
      <c r="F954" s="40"/>
      <c r="G954" s="4"/>
      <c r="H954" s="4"/>
      <c r="K954" s="41" t="str">
        <f>IFERROR(__xludf.DUMMYFUNCTION("""COMPUTED_VALUE"""),"")</f>
        <v/>
      </c>
      <c r="L954" s="42" t="s">
        <v>79</v>
      </c>
      <c r="M954" s="42" t="s">
        <v>79</v>
      </c>
    </row>
    <row r="955">
      <c r="A955" s="30"/>
      <c r="B955" s="37" t="s">
        <v>79</v>
      </c>
      <c r="E955" s="21" t="s">
        <v>79</v>
      </c>
      <c r="F955" s="40"/>
      <c r="G955" s="4"/>
      <c r="H955" s="4"/>
      <c r="K955" s="41" t="str">
        <f>IFERROR(__xludf.DUMMYFUNCTION("""COMPUTED_VALUE"""),"")</f>
        <v/>
      </c>
      <c r="L955" s="42" t="s">
        <v>79</v>
      </c>
      <c r="M955" s="42" t="s">
        <v>79</v>
      </c>
    </row>
    <row r="956">
      <c r="A956" s="30"/>
      <c r="B956" s="37" t="s">
        <v>79</v>
      </c>
      <c r="E956" s="21" t="s">
        <v>79</v>
      </c>
      <c r="F956" s="40"/>
      <c r="G956" s="4"/>
      <c r="H956" s="4"/>
      <c r="K956" s="41" t="str">
        <f>IFERROR(__xludf.DUMMYFUNCTION("""COMPUTED_VALUE"""),"")</f>
        <v/>
      </c>
      <c r="L956" s="42" t="s">
        <v>79</v>
      </c>
      <c r="M956" s="42" t="s">
        <v>79</v>
      </c>
    </row>
    <row r="957">
      <c r="A957" s="30"/>
      <c r="B957" s="37" t="s">
        <v>79</v>
      </c>
      <c r="E957" s="21" t="s">
        <v>79</v>
      </c>
      <c r="F957" s="40"/>
      <c r="G957" s="4"/>
      <c r="H957" s="4"/>
      <c r="K957" s="41" t="str">
        <f>IFERROR(__xludf.DUMMYFUNCTION("""COMPUTED_VALUE"""),"")</f>
        <v/>
      </c>
      <c r="L957" s="42" t="s">
        <v>79</v>
      </c>
      <c r="M957" s="42" t="s">
        <v>79</v>
      </c>
    </row>
    <row r="958">
      <c r="A958" s="30"/>
      <c r="B958" s="37" t="s">
        <v>79</v>
      </c>
      <c r="E958" s="21" t="s">
        <v>79</v>
      </c>
      <c r="F958" s="40"/>
      <c r="G958" s="4"/>
      <c r="H958" s="4"/>
      <c r="K958" s="41" t="str">
        <f>IFERROR(__xludf.DUMMYFUNCTION("""COMPUTED_VALUE"""),"")</f>
        <v/>
      </c>
      <c r="L958" s="42" t="s">
        <v>79</v>
      </c>
      <c r="M958" s="42" t="s">
        <v>79</v>
      </c>
    </row>
    <row r="959">
      <c r="A959" s="30"/>
      <c r="B959" s="37" t="s">
        <v>79</v>
      </c>
      <c r="E959" s="21" t="s">
        <v>79</v>
      </c>
      <c r="F959" s="40"/>
      <c r="G959" s="4"/>
      <c r="H959" s="4"/>
      <c r="K959" s="41" t="str">
        <f>IFERROR(__xludf.DUMMYFUNCTION("""COMPUTED_VALUE"""),"")</f>
        <v/>
      </c>
      <c r="L959" s="42" t="s">
        <v>79</v>
      </c>
      <c r="M959" s="42" t="s">
        <v>79</v>
      </c>
    </row>
    <row r="960">
      <c r="A960" s="30"/>
      <c r="B960" s="37" t="s">
        <v>79</v>
      </c>
      <c r="E960" s="21" t="s">
        <v>79</v>
      </c>
      <c r="F960" s="40"/>
      <c r="G960" s="4"/>
      <c r="H960" s="4"/>
      <c r="K960" s="41" t="str">
        <f>IFERROR(__xludf.DUMMYFUNCTION("""COMPUTED_VALUE"""),"")</f>
        <v/>
      </c>
      <c r="L960" s="42" t="s">
        <v>79</v>
      </c>
      <c r="M960" s="42" t="s">
        <v>79</v>
      </c>
    </row>
    <row r="961">
      <c r="A961" s="30"/>
      <c r="B961" s="37" t="s">
        <v>79</v>
      </c>
      <c r="E961" s="21" t="s">
        <v>79</v>
      </c>
      <c r="F961" s="40"/>
      <c r="G961" s="4"/>
      <c r="H961" s="4"/>
      <c r="K961" s="41" t="str">
        <f>IFERROR(__xludf.DUMMYFUNCTION("""COMPUTED_VALUE"""),"")</f>
        <v/>
      </c>
      <c r="L961" s="42" t="s">
        <v>79</v>
      </c>
      <c r="M961" s="42" t="s">
        <v>79</v>
      </c>
    </row>
    <row r="962">
      <c r="A962" s="30"/>
      <c r="B962" s="37" t="s">
        <v>79</v>
      </c>
      <c r="E962" s="21" t="s">
        <v>79</v>
      </c>
      <c r="F962" s="40"/>
      <c r="G962" s="4"/>
      <c r="H962" s="4"/>
      <c r="K962" s="41" t="str">
        <f>IFERROR(__xludf.DUMMYFUNCTION("""COMPUTED_VALUE"""),"")</f>
        <v/>
      </c>
      <c r="L962" s="42" t="s">
        <v>79</v>
      </c>
      <c r="M962" s="42" t="s">
        <v>79</v>
      </c>
    </row>
    <row r="963">
      <c r="A963" s="30"/>
      <c r="B963" s="37" t="s">
        <v>79</v>
      </c>
      <c r="E963" s="21" t="s">
        <v>79</v>
      </c>
      <c r="F963" s="40"/>
      <c r="G963" s="4"/>
      <c r="H963" s="4"/>
      <c r="K963" s="41" t="str">
        <f>IFERROR(__xludf.DUMMYFUNCTION("""COMPUTED_VALUE"""),"")</f>
        <v/>
      </c>
      <c r="L963" s="42" t="s">
        <v>79</v>
      </c>
      <c r="M963" s="42" t="s">
        <v>79</v>
      </c>
    </row>
    <row r="964">
      <c r="A964" s="30"/>
      <c r="B964" s="37" t="s">
        <v>79</v>
      </c>
      <c r="E964" s="21" t="s">
        <v>79</v>
      </c>
      <c r="F964" s="40"/>
      <c r="G964" s="4"/>
      <c r="H964" s="4"/>
      <c r="K964" s="41" t="str">
        <f>IFERROR(__xludf.DUMMYFUNCTION("""COMPUTED_VALUE"""),"")</f>
        <v/>
      </c>
      <c r="L964" s="42" t="s">
        <v>79</v>
      </c>
      <c r="M964" s="42" t="s">
        <v>79</v>
      </c>
    </row>
    <row r="965">
      <c r="A965" s="30"/>
      <c r="B965" s="37" t="s">
        <v>79</v>
      </c>
      <c r="E965" s="21" t="s">
        <v>79</v>
      </c>
      <c r="F965" s="40"/>
      <c r="G965" s="4"/>
      <c r="H965" s="4"/>
      <c r="K965" s="41" t="str">
        <f>IFERROR(__xludf.DUMMYFUNCTION("""COMPUTED_VALUE"""),"")</f>
        <v/>
      </c>
      <c r="L965" s="42" t="s">
        <v>79</v>
      </c>
      <c r="M965" s="42" t="s">
        <v>79</v>
      </c>
    </row>
    <row r="966">
      <c r="A966" s="30"/>
      <c r="B966" s="37" t="s">
        <v>79</v>
      </c>
      <c r="E966" s="21" t="s">
        <v>79</v>
      </c>
      <c r="F966" s="40"/>
      <c r="G966" s="4"/>
      <c r="H966" s="4"/>
      <c r="K966" s="41" t="str">
        <f>IFERROR(__xludf.DUMMYFUNCTION("""COMPUTED_VALUE"""),"")</f>
        <v/>
      </c>
      <c r="L966" s="42" t="s">
        <v>79</v>
      </c>
      <c r="M966" s="42" t="s">
        <v>79</v>
      </c>
    </row>
    <row r="967">
      <c r="A967" s="30"/>
      <c r="B967" s="37" t="s">
        <v>79</v>
      </c>
      <c r="E967" s="21" t="s">
        <v>79</v>
      </c>
      <c r="F967" s="40"/>
      <c r="G967" s="4"/>
      <c r="H967" s="4"/>
      <c r="K967" s="41" t="str">
        <f>IFERROR(__xludf.DUMMYFUNCTION("""COMPUTED_VALUE"""),"")</f>
        <v/>
      </c>
      <c r="L967" s="42" t="s">
        <v>79</v>
      </c>
      <c r="M967" s="42" t="s">
        <v>79</v>
      </c>
    </row>
    <row r="968">
      <c r="A968" s="30"/>
      <c r="B968" s="37" t="s">
        <v>79</v>
      </c>
      <c r="E968" s="21" t="s">
        <v>79</v>
      </c>
      <c r="F968" s="40"/>
      <c r="G968" s="4"/>
      <c r="H968" s="4"/>
      <c r="K968" s="41" t="str">
        <f>IFERROR(__xludf.DUMMYFUNCTION("""COMPUTED_VALUE"""),"")</f>
        <v/>
      </c>
      <c r="L968" s="42" t="s">
        <v>79</v>
      </c>
      <c r="M968" s="42" t="s">
        <v>79</v>
      </c>
    </row>
    <row r="969">
      <c r="A969" s="30"/>
      <c r="B969" s="37" t="s">
        <v>79</v>
      </c>
      <c r="E969" s="21" t="s">
        <v>79</v>
      </c>
      <c r="F969" s="40"/>
      <c r="G969" s="4"/>
      <c r="H969" s="4"/>
      <c r="K969" s="41" t="str">
        <f>IFERROR(__xludf.DUMMYFUNCTION("""COMPUTED_VALUE"""),"")</f>
        <v/>
      </c>
      <c r="L969" s="42" t="s">
        <v>79</v>
      </c>
      <c r="M969" s="42" t="s">
        <v>79</v>
      </c>
    </row>
    <row r="970">
      <c r="A970" s="30"/>
      <c r="B970" s="37" t="s">
        <v>79</v>
      </c>
      <c r="E970" s="21" t="s">
        <v>79</v>
      </c>
      <c r="F970" s="40"/>
      <c r="G970" s="4"/>
      <c r="H970" s="4"/>
      <c r="K970" s="41" t="str">
        <f>IFERROR(__xludf.DUMMYFUNCTION("""COMPUTED_VALUE"""),"")</f>
        <v/>
      </c>
      <c r="L970" s="42" t="s">
        <v>79</v>
      </c>
      <c r="M970" s="42" t="s">
        <v>79</v>
      </c>
    </row>
    <row r="971">
      <c r="A971" s="30"/>
      <c r="B971" s="37" t="s">
        <v>79</v>
      </c>
      <c r="E971" s="21" t="s">
        <v>79</v>
      </c>
      <c r="F971" s="40"/>
      <c r="G971" s="4"/>
      <c r="H971" s="4"/>
      <c r="K971" s="41" t="str">
        <f>IFERROR(__xludf.DUMMYFUNCTION("""COMPUTED_VALUE"""),"")</f>
        <v/>
      </c>
      <c r="L971" s="42" t="s">
        <v>79</v>
      </c>
      <c r="M971" s="42" t="s">
        <v>79</v>
      </c>
    </row>
    <row r="972">
      <c r="A972" s="30"/>
      <c r="B972" s="37" t="s">
        <v>79</v>
      </c>
      <c r="E972" s="21" t="s">
        <v>79</v>
      </c>
      <c r="F972" s="40"/>
      <c r="G972" s="4"/>
      <c r="H972" s="4"/>
      <c r="K972" s="41" t="str">
        <f>IFERROR(__xludf.DUMMYFUNCTION("""COMPUTED_VALUE"""),"")</f>
        <v/>
      </c>
      <c r="L972" s="42" t="s">
        <v>79</v>
      </c>
      <c r="M972" s="42" t="s">
        <v>79</v>
      </c>
    </row>
    <row r="973">
      <c r="A973" s="30"/>
      <c r="B973" s="37" t="s">
        <v>79</v>
      </c>
      <c r="E973" s="21" t="s">
        <v>79</v>
      </c>
      <c r="F973" s="40"/>
      <c r="G973" s="4"/>
      <c r="H973" s="4"/>
      <c r="K973" s="41" t="str">
        <f>IFERROR(__xludf.DUMMYFUNCTION("""COMPUTED_VALUE"""),"")</f>
        <v/>
      </c>
      <c r="L973" s="42" t="s">
        <v>79</v>
      </c>
      <c r="M973" s="42" t="s">
        <v>79</v>
      </c>
    </row>
    <row r="974">
      <c r="A974" s="30"/>
      <c r="B974" s="37" t="s">
        <v>79</v>
      </c>
      <c r="E974" s="21" t="s">
        <v>79</v>
      </c>
      <c r="F974" s="40"/>
      <c r="G974" s="4"/>
      <c r="H974" s="4"/>
      <c r="K974" s="41" t="str">
        <f>IFERROR(__xludf.DUMMYFUNCTION("""COMPUTED_VALUE"""),"")</f>
        <v/>
      </c>
      <c r="L974" s="42" t="s">
        <v>79</v>
      </c>
      <c r="M974" s="42" t="s">
        <v>79</v>
      </c>
    </row>
    <row r="975">
      <c r="A975" s="30"/>
      <c r="B975" s="37" t="s">
        <v>79</v>
      </c>
      <c r="E975" s="21" t="s">
        <v>79</v>
      </c>
      <c r="F975" s="40"/>
      <c r="G975" s="4"/>
      <c r="H975" s="4"/>
      <c r="K975" s="41" t="str">
        <f>IFERROR(__xludf.DUMMYFUNCTION("""COMPUTED_VALUE"""),"")</f>
        <v/>
      </c>
      <c r="L975" s="42" t="s">
        <v>79</v>
      </c>
      <c r="M975" s="42" t="s">
        <v>79</v>
      </c>
    </row>
    <row r="976">
      <c r="A976" s="30"/>
      <c r="B976" s="37" t="s">
        <v>79</v>
      </c>
      <c r="E976" s="21" t="s">
        <v>79</v>
      </c>
      <c r="F976" s="40"/>
      <c r="G976" s="4"/>
      <c r="H976" s="4"/>
      <c r="K976" s="41" t="str">
        <f>IFERROR(__xludf.DUMMYFUNCTION("""COMPUTED_VALUE"""),"")</f>
        <v/>
      </c>
      <c r="L976" s="42" t="s">
        <v>79</v>
      </c>
      <c r="M976" s="42" t="s">
        <v>79</v>
      </c>
    </row>
    <row r="977">
      <c r="A977" s="30"/>
      <c r="B977" s="37" t="s">
        <v>79</v>
      </c>
      <c r="E977" s="21" t="s">
        <v>79</v>
      </c>
      <c r="F977" s="40"/>
      <c r="G977" s="4"/>
      <c r="H977" s="4"/>
      <c r="K977" s="41" t="str">
        <f>IFERROR(__xludf.DUMMYFUNCTION("""COMPUTED_VALUE"""),"")</f>
        <v/>
      </c>
      <c r="L977" s="42" t="s">
        <v>79</v>
      </c>
      <c r="M977" s="42" t="s">
        <v>79</v>
      </c>
    </row>
    <row r="978">
      <c r="A978" s="30"/>
      <c r="B978" s="37" t="s">
        <v>79</v>
      </c>
      <c r="E978" s="21" t="s">
        <v>79</v>
      </c>
      <c r="F978" s="40"/>
      <c r="G978" s="4"/>
      <c r="H978" s="4"/>
      <c r="K978" s="41" t="str">
        <f>IFERROR(__xludf.DUMMYFUNCTION("""COMPUTED_VALUE"""),"")</f>
        <v/>
      </c>
      <c r="L978" s="42" t="s">
        <v>79</v>
      </c>
      <c r="M978" s="42" t="s">
        <v>79</v>
      </c>
    </row>
    <row r="979">
      <c r="A979" s="30"/>
      <c r="B979" s="37" t="s">
        <v>79</v>
      </c>
      <c r="E979" s="21" t="s">
        <v>79</v>
      </c>
      <c r="F979" s="40"/>
      <c r="G979" s="4"/>
      <c r="H979" s="4"/>
      <c r="K979" s="41" t="str">
        <f>IFERROR(__xludf.DUMMYFUNCTION("""COMPUTED_VALUE"""),"")</f>
        <v/>
      </c>
      <c r="L979" s="42" t="s">
        <v>79</v>
      </c>
      <c r="M979" s="42" t="s">
        <v>79</v>
      </c>
    </row>
    <row r="980">
      <c r="A980" s="30"/>
      <c r="B980" s="37" t="s">
        <v>79</v>
      </c>
      <c r="E980" s="21" t="s">
        <v>79</v>
      </c>
      <c r="F980" s="40"/>
      <c r="G980" s="4"/>
      <c r="H980" s="4"/>
      <c r="K980" s="41" t="str">
        <f>IFERROR(__xludf.DUMMYFUNCTION("""COMPUTED_VALUE"""),"")</f>
        <v/>
      </c>
      <c r="L980" s="42" t="s">
        <v>79</v>
      </c>
      <c r="M980" s="42" t="s">
        <v>79</v>
      </c>
    </row>
    <row r="981">
      <c r="A981" s="30"/>
      <c r="B981" s="37" t="s">
        <v>79</v>
      </c>
      <c r="E981" s="21" t="s">
        <v>79</v>
      </c>
      <c r="F981" s="40"/>
      <c r="G981" s="4"/>
      <c r="H981" s="4"/>
      <c r="K981" s="41" t="str">
        <f>IFERROR(__xludf.DUMMYFUNCTION("""COMPUTED_VALUE"""),"")</f>
        <v/>
      </c>
      <c r="L981" s="42" t="s">
        <v>79</v>
      </c>
      <c r="M981" s="42" t="s">
        <v>79</v>
      </c>
    </row>
    <row r="982">
      <c r="A982" s="30"/>
      <c r="B982" s="37" t="s">
        <v>79</v>
      </c>
      <c r="E982" s="21" t="s">
        <v>79</v>
      </c>
      <c r="F982" s="40"/>
      <c r="G982" s="4"/>
      <c r="H982" s="4"/>
      <c r="K982" s="41" t="str">
        <f>IFERROR(__xludf.DUMMYFUNCTION("""COMPUTED_VALUE"""),"")</f>
        <v/>
      </c>
      <c r="L982" s="42" t="s">
        <v>79</v>
      </c>
      <c r="M982" s="42" t="s">
        <v>79</v>
      </c>
    </row>
    <row r="983">
      <c r="A983" s="30"/>
      <c r="B983" s="37" t="s">
        <v>79</v>
      </c>
      <c r="E983" s="21" t="s">
        <v>79</v>
      </c>
      <c r="F983" s="40"/>
      <c r="G983" s="4"/>
      <c r="H983" s="4"/>
      <c r="K983" s="41" t="str">
        <f>IFERROR(__xludf.DUMMYFUNCTION("""COMPUTED_VALUE"""),"")</f>
        <v/>
      </c>
      <c r="L983" s="42" t="s">
        <v>79</v>
      </c>
      <c r="M983" s="42" t="s">
        <v>79</v>
      </c>
    </row>
    <row r="984">
      <c r="A984" s="30"/>
      <c r="B984" s="37" t="s">
        <v>79</v>
      </c>
      <c r="E984" s="21" t="s">
        <v>79</v>
      </c>
      <c r="F984" s="40"/>
      <c r="G984" s="4"/>
      <c r="H984" s="4"/>
      <c r="K984" s="41" t="str">
        <f>IFERROR(__xludf.DUMMYFUNCTION("""COMPUTED_VALUE"""),"")</f>
        <v/>
      </c>
      <c r="L984" s="42" t="s">
        <v>79</v>
      </c>
      <c r="M984" s="42" t="s">
        <v>79</v>
      </c>
    </row>
    <row r="985">
      <c r="A985" s="30"/>
      <c r="B985" s="37" t="s">
        <v>79</v>
      </c>
      <c r="E985" s="21" t="s">
        <v>79</v>
      </c>
      <c r="F985" s="40"/>
      <c r="G985" s="4"/>
      <c r="H985" s="4"/>
      <c r="K985" s="41" t="str">
        <f>IFERROR(__xludf.DUMMYFUNCTION("""COMPUTED_VALUE"""),"")</f>
        <v/>
      </c>
      <c r="L985" s="42" t="s">
        <v>79</v>
      </c>
      <c r="M985" s="42" t="s">
        <v>79</v>
      </c>
    </row>
    <row r="986">
      <c r="A986" s="30"/>
      <c r="B986" s="37" t="s">
        <v>79</v>
      </c>
      <c r="E986" s="21" t="s">
        <v>79</v>
      </c>
      <c r="F986" s="40"/>
      <c r="G986" s="4"/>
      <c r="H986" s="4"/>
      <c r="K986" s="41" t="str">
        <f>IFERROR(__xludf.DUMMYFUNCTION("""COMPUTED_VALUE"""),"")</f>
        <v/>
      </c>
      <c r="L986" s="42" t="s">
        <v>79</v>
      </c>
      <c r="M986" s="42" t="s">
        <v>79</v>
      </c>
    </row>
    <row r="987">
      <c r="A987" s="30"/>
      <c r="B987" s="37" t="s">
        <v>79</v>
      </c>
      <c r="E987" s="21" t="s">
        <v>79</v>
      </c>
      <c r="F987" s="40"/>
      <c r="G987" s="4"/>
      <c r="H987" s="4"/>
      <c r="K987" s="41" t="str">
        <f>IFERROR(__xludf.DUMMYFUNCTION("""COMPUTED_VALUE"""),"")</f>
        <v/>
      </c>
      <c r="L987" s="42" t="s">
        <v>79</v>
      </c>
      <c r="M987" s="42" t="s">
        <v>79</v>
      </c>
    </row>
    <row r="988">
      <c r="A988" s="30"/>
      <c r="B988" s="37" t="s">
        <v>79</v>
      </c>
      <c r="E988" s="21" t="s">
        <v>79</v>
      </c>
      <c r="F988" s="40"/>
      <c r="G988" s="4"/>
      <c r="H988" s="4"/>
      <c r="K988" s="41" t="str">
        <f>IFERROR(__xludf.DUMMYFUNCTION("""COMPUTED_VALUE"""),"")</f>
        <v/>
      </c>
      <c r="L988" s="42" t="s">
        <v>79</v>
      </c>
      <c r="M988" s="42" t="s">
        <v>79</v>
      </c>
    </row>
    <row r="989">
      <c r="A989" s="30"/>
      <c r="B989" s="37" t="s">
        <v>79</v>
      </c>
      <c r="E989" s="21" t="s">
        <v>79</v>
      </c>
      <c r="F989" s="40"/>
      <c r="G989" s="4"/>
      <c r="H989" s="4"/>
      <c r="K989" s="41" t="str">
        <f>IFERROR(__xludf.DUMMYFUNCTION("""COMPUTED_VALUE"""),"")</f>
        <v/>
      </c>
      <c r="L989" s="42" t="s">
        <v>79</v>
      </c>
      <c r="M989" s="42" t="s">
        <v>79</v>
      </c>
    </row>
    <row r="990">
      <c r="A990" s="30"/>
      <c r="B990" s="37" t="s">
        <v>79</v>
      </c>
      <c r="E990" s="21" t="s">
        <v>79</v>
      </c>
      <c r="F990" s="40"/>
      <c r="G990" s="4"/>
      <c r="H990" s="4"/>
      <c r="K990" s="41" t="str">
        <f>IFERROR(__xludf.DUMMYFUNCTION("""COMPUTED_VALUE"""),"")</f>
        <v/>
      </c>
      <c r="L990" s="42" t="s">
        <v>79</v>
      </c>
      <c r="M990" s="42" t="s">
        <v>79</v>
      </c>
    </row>
    <row r="991">
      <c r="A991" s="30"/>
      <c r="B991" s="37" t="s">
        <v>79</v>
      </c>
      <c r="E991" s="21" t="s">
        <v>79</v>
      </c>
      <c r="F991" s="40"/>
      <c r="G991" s="4"/>
      <c r="H991" s="4"/>
      <c r="K991" s="41" t="str">
        <f>IFERROR(__xludf.DUMMYFUNCTION("""COMPUTED_VALUE"""),"")</f>
        <v/>
      </c>
      <c r="L991" s="42" t="s">
        <v>79</v>
      </c>
      <c r="M991" s="42" t="s">
        <v>79</v>
      </c>
    </row>
    <row r="992">
      <c r="A992" s="30"/>
      <c r="B992" s="37" t="s">
        <v>79</v>
      </c>
      <c r="E992" s="21" t="s">
        <v>79</v>
      </c>
      <c r="F992" s="40"/>
      <c r="G992" s="4"/>
      <c r="H992" s="4"/>
      <c r="K992" s="41" t="str">
        <f>IFERROR(__xludf.DUMMYFUNCTION("""COMPUTED_VALUE"""),"")</f>
        <v/>
      </c>
      <c r="L992" s="42" t="s">
        <v>79</v>
      </c>
      <c r="M992" s="42" t="s">
        <v>79</v>
      </c>
    </row>
    <row r="993">
      <c r="A993" s="30"/>
      <c r="B993" s="37" t="s">
        <v>79</v>
      </c>
      <c r="E993" s="21" t="s">
        <v>79</v>
      </c>
      <c r="F993" s="40"/>
      <c r="G993" s="4"/>
      <c r="H993" s="4"/>
      <c r="K993" s="41" t="str">
        <f>IFERROR(__xludf.DUMMYFUNCTION("""COMPUTED_VALUE"""),"")</f>
        <v/>
      </c>
      <c r="L993" s="42" t="s">
        <v>79</v>
      </c>
      <c r="M993" s="42" t="s">
        <v>79</v>
      </c>
    </row>
    <row r="994">
      <c r="A994" s="30"/>
      <c r="B994" s="37" t="s">
        <v>79</v>
      </c>
      <c r="E994" s="21" t="s">
        <v>79</v>
      </c>
      <c r="F994" s="40"/>
      <c r="G994" s="4"/>
      <c r="H994" s="4"/>
      <c r="K994" s="41" t="str">
        <f>IFERROR(__xludf.DUMMYFUNCTION("""COMPUTED_VALUE"""),"")</f>
        <v/>
      </c>
      <c r="L994" s="42" t="s">
        <v>79</v>
      </c>
      <c r="M994" s="42" t="s">
        <v>79</v>
      </c>
    </row>
    <row r="995">
      <c r="A995" s="30"/>
      <c r="B995" s="37" t="s">
        <v>79</v>
      </c>
      <c r="E995" s="21" t="s">
        <v>79</v>
      </c>
      <c r="F995" s="40"/>
      <c r="G995" s="4"/>
      <c r="H995" s="4"/>
      <c r="K995" s="41" t="str">
        <f>IFERROR(__xludf.DUMMYFUNCTION("""COMPUTED_VALUE"""),"")</f>
        <v/>
      </c>
      <c r="L995" s="42" t="s">
        <v>79</v>
      </c>
      <c r="M995" s="42" t="s">
        <v>79</v>
      </c>
    </row>
    <row r="996">
      <c r="A996" s="30"/>
      <c r="B996" s="37" t="s">
        <v>79</v>
      </c>
      <c r="E996" s="21" t="s">
        <v>79</v>
      </c>
      <c r="F996" s="40"/>
      <c r="G996" s="4"/>
      <c r="H996" s="4"/>
      <c r="K996" s="41" t="str">
        <f>IFERROR(__xludf.DUMMYFUNCTION("""COMPUTED_VALUE"""),"")</f>
        <v/>
      </c>
      <c r="L996" s="42" t="s">
        <v>79</v>
      </c>
      <c r="M996" s="42" t="s">
        <v>79</v>
      </c>
    </row>
    <row r="997">
      <c r="A997" s="30"/>
      <c r="B997" s="37" t="s">
        <v>79</v>
      </c>
      <c r="E997" s="21" t="s">
        <v>79</v>
      </c>
      <c r="F997" s="40"/>
      <c r="G997" s="4"/>
      <c r="H997" s="4"/>
      <c r="K997" s="41" t="str">
        <f>IFERROR(__xludf.DUMMYFUNCTION("""COMPUTED_VALUE"""),"")</f>
        <v/>
      </c>
      <c r="L997" s="42" t="s">
        <v>79</v>
      </c>
      <c r="M997" s="42" t="s">
        <v>79</v>
      </c>
    </row>
    <row r="998">
      <c r="A998" s="30"/>
      <c r="B998" s="37" t="s">
        <v>79</v>
      </c>
      <c r="E998" s="21" t="s">
        <v>79</v>
      </c>
      <c r="F998" s="40"/>
      <c r="G998" s="4"/>
      <c r="H998" s="4"/>
      <c r="K998" s="41" t="str">
        <f>IFERROR(__xludf.DUMMYFUNCTION("""COMPUTED_VALUE"""),"")</f>
        <v/>
      </c>
      <c r="L998" s="42" t="s">
        <v>79</v>
      </c>
      <c r="M998" s="42" t="s">
        <v>79</v>
      </c>
    </row>
    <row r="999">
      <c r="A999" s="30"/>
      <c r="B999" s="37" t="s">
        <v>79</v>
      </c>
      <c r="E999" s="21" t="s">
        <v>79</v>
      </c>
      <c r="F999" s="40"/>
      <c r="G999" s="4"/>
      <c r="H999" s="4"/>
      <c r="K999" s="41" t="str">
        <f>IFERROR(__xludf.DUMMYFUNCTION("""COMPUTED_VALUE"""),"")</f>
        <v/>
      </c>
      <c r="L999" s="42" t="s">
        <v>79</v>
      </c>
      <c r="M999" s="42" t="s">
        <v>79</v>
      </c>
    </row>
    <row r="1000">
      <c r="A1000" s="30"/>
      <c r="B1000" s="37" t="s">
        <v>79</v>
      </c>
      <c r="E1000" s="21" t="s">
        <v>79</v>
      </c>
      <c r="F1000" s="40"/>
      <c r="G1000" s="4"/>
      <c r="H1000" s="4"/>
      <c r="K1000" s="41" t="str">
        <f>IFERROR(__xludf.DUMMYFUNCTION("""COMPUTED_VALUE"""),"")</f>
        <v/>
      </c>
      <c r="L1000" s="42" t="s">
        <v>79</v>
      </c>
      <c r="M1000" s="42" t="s">
        <v>79</v>
      </c>
    </row>
    <row r="1001">
      <c r="A1001" s="30"/>
      <c r="B1001" s="37" t="s">
        <v>79</v>
      </c>
      <c r="E1001" s="21" t="s">
        <v>79</v>
      </c>
      <c r="F1001" s="40"/>
      <c r="G1001" s="4"/>
      <c r="H1001" s="4"/>
      <c r="K1001" s="41" t="str">
        <f>IFERROR(__xludf.DUMMYFUNCTION("""COMPUTED_VALUE"""),"")</f>
        <v/>
      </c>
      <c r="L1001" s="42" t="s">
        <v>79</v>
      </c>
      <c r="M1001" s="42" t="s">
        <v>79</v>
      </c>
    </row>
    <row r="1002">
      <c r="A1002" s="30"/>
      <c r="B1002" s="37" t="s">
        <v>79</v>
      </c>
      <c r="E1002" s="21" t="s">
        <v>79</v>
      </c>
      <c r="F1002" s="40"/>
      <c r="G1002" s="4"/>
      <c r="H1002" s="4"/>
      <c r="K1002" s="41" t="str">
        <f>IFERROR(__xludf.DUMMYFUNCTION("""COMPUTED_VALUE"""),"")</f>
        <v/>
      </c>
      <c r="L1002" s="42" t="s">
        <v>79</v>
      </c>
      <c r="M1002" s="42" t="s">
        <v>79</v>
      </c>
    </row>
    <row r="1003">
      <c r="A1003" s="30"/>
      <c r="B1003" s="37" t="s">
        <v>79</v>
      </c>
      <c r="E1003" s="21" t="s">
        <v>79</v>
      </c>
      <c r="F1003" s="40"/>
      <c r="G1003" s="4"/>
      <c r="H1003" s="4"/>
      <c r="K1003" s="41" t="str">
        <f>IFERROR(__xludf.DUMMYFUNCTION("""COMPUTED_VALUE"""),"")</f>
        <v/>
      </c>
      <c r="L1003" s="42" t="s">
        <v>79</v>
      </c>
      <c r="M1003" s="42" t="s">
        <v>79</v>
      </c>
    </row>
    <row r="1004">
      <c r="A1004" s="30"/>
      <c r="B1004" s="37" t="s">
        <v>79</v>
      </c>
      <c r="E1004" s="21" t="s">
        <v>79</v>
      </c>
      <c r="F1004" s="40"/>
      <c r="G1004" s="4"/>
      <c r="H1004" s="4"/>
      <c r="K1004" s="41" t="str">
        <f>IFERROR(__xludf.DUMMYFUNCTION("""COMPUTED_VALUE"""),"")</f>
        <v/>
      </c>
      <c r="L1004" s="42" t="s">
        <v>79</v>
      </c>
      <c r="M1004" s="42" t="s">
        <v>79</v>
      </c>
    </row>
    <row r="1005">
      <c r="A1005" s="30"/>
      <c r="B1005" s="37" t="s">
        <v>79</v>
      </c>
      <c r="E1005" s="21" t="s">
        <v>79</v>
      </c>
      <c r="F1005" s="40"/>
      <c r="G1005" s="4"/>
      <c r="H1005" s="4"/>
      <c r="K1005" s="41" t="str">
        <f>IFERROR(__xludf.DUMMYFUNCTION("""COMPUTED_VALUE"""),"")</f>
        <v/>
      </c>
      <c r="L1005" s="42" t="s">
        <v>79</v>
      </c>
      <c r="M1005" s="42" t="s">
        <v>79</v>
      </c>
    </row>
    <row r="1006">
      <c r="A1006" s="30"/>
      <c r="B1006" s="37" t="s">
        <v>79</v>
      </c>
      <c r="E1006" s="21" t="s">
        <v>79</v>
      </c>
      <c r="F1006" s="40"/>
      <c r="G1006" s="4"/>
      <c r="H1006" s="4"/>
      <c r="K1006" s="41" t="str">
        <f>IFERROR(__xludf.DUMMYFUNCTION("""COMPUTED_VALUE"""),"")</f>
        <v/>
      </c>
      <c r="L1006" s="42" t="s">
        <v>79</v>
      </c>
      <c r="M1006" s="42" t="s">
        <v>79</v>
      </c>
    </row>
    <row r="1007">
      <c r="A1007" s="30"/>
      <c r="B1007" s="37" t="s">
        <v>79</v>
      </c>
      <c r="E1007" s="21" t="s">
        <v>79</v>
      </c>
      <c r="F1007" s="40"/>
      <c r="G1007" s="4"/>
      <c r="H1007" s="4"/>
      <c r="K1007" s="41" t="str">
        <f>IFERROR(__xludf.DUMMYFUNCTION("""COMPUTED_VALUE"""),"")</f>
        <v/>
      </c>
      <c r="L1007" s="42" t="s">
        <v>79</v>
      </c>
      <c r="M1007" s="42" t="s">
        <v>79</v>
      </c>
    </row>
    <row r="1008">
      <c r="A1008" s="30"/>
      <c r="B1008" s="37" t="s">
        <v>79</v>
      </c>
      <c r="E1008" s="21" t="s">
        <v>79</v>
      </c>
      <c r="F1008" s="40"/>
      <c r="G1008" s="4"/>
      <c r="H1008" s="4"/>
      <c r="K1008" s="41" t="str">
        <f>IFERROR(__xludf.DUMMYFUNCTION("""COMPUTED_VALUE"""),"")</f>
        <v/>
      </c>
      <c r="L1008" s="42" t="s">
        <v>79</v>
      </c>
      <c r="M1008" s="42" t="s">
        <v>79</v>
      </c>
    </row>
    <row r="1009">
      <c r="A1009" s="30"/>
      <c r="B1009" s="37" t="s">
        <v>79</v>
      </c>
      <c r="E1009" s="21" t="s">
        <v>79</v>
      </c>
      <c r="F1009" s="40"/>
      <c r="G1009" s="4"/>
      <c r="H1009" s="4"/>
      <c r="K1009" s="41" t="str">
        <f>IFERROR(__xludf.DUMMYFUNCTION("""COMPUTED_VALUE"""),"")</f>
        <v/>
      </c>
      <c r="L1009" s="42" t="s">
        <v>79</v>
      </c>
      <c r="M1009" s="42" t="s">
        <v>79</v>
      </c>
    </row>
    <row r="1010">
      <c r="A1010" s="30"/>
      <c r="B1010" s="37" t="s">
        <v>79</v>
      </c>
      <c r="E1010" s="21" t="s">
        <v>79</v>
      </c>
      <c r="F1010" s="40"/>
      <c r="G1010" s="4"/>
      <c r="H1010" s="4"/>
      <c r="K1010" s="41" t="str">
        <f>IFERROR(__xludf.DUMMYFUNCTION("""COMPUTED_VALUE"""),"")</f>
        <v/>
      </c>
      <c r="L1010" s="42" t="s">
        <v>79</v>
      </c>
      <c r="M1010" s="42" t="s">
        <v>79</v>
      </c>
    </row>
    <row r="1011">
      <c r="A1011" s="30"/>
      <c r="B1011" s="37" t="s">
        <v>79</v>
      </c>
      <c r="E1011" s="21" t="s">
        <v>79</v>
      </c>
      <c r="F1011" s="40"/>
      <c r="G1011" s="4"/>
      <c r="H1011" s="4"/>
      <c r="K1011" s="41" t="str">
        <f>IFERROR(__xludf.DUMMYFUNCTION("""COMPUTED_VALUE"""),"")</f>
        <v/>
      </c>
      <c r="L1011" s="42" t="s">
        <v>79</v>
      </c>
      <c r="M1011" s="42" t="s">
        <v>79</v>
      </c>
    </row>
    <row r="1012">
      <c r="A1012" s="30"/>
      <c r="B1012" s="37" t="s">
        <v>79</v>
      </c>
      <c r="E1012" s="21" t="s">
        <v>79</v>
      </c>
      <c r="F1012" s="40"/>
      <c r="G1012" s="4"/>
      <c r="H1012" s="4"/>
      <c r="K1012" s="41" t="str">
        <f>IFERROR(__xludf.DUMMYFUNCTION("""COMPUTED_VALUE"""),"")</f>
        <v/>
      </c>
      <c r="L1012" s="42" t="s">
        <v>79</v>
      </c>
      <c r="M1012" s="42" t="s">
        <v>79</v>
      </c>
    </row>
    <row r="1013">
      <c r="A1013" s="30"/>
      <c r="B1013" s="37" t="s">
        <v>79</v>
      </c>
      <c r="E1013" s="21" t="s">
        <v>79</v>
      </c>
      <c r="F1013" s="40"/>
      <c r="G1013" s="4"/>
      <c r="H1013" s="4"/>
      <c r="K1013" s="41" t="str">
        <f>IFERROR(__xludf.DUMMYFUNCTION("""COMPUTED_VALUE"""),"")</f>
        <v/>
      </c>
      <c r="L1013" s="42" t="s">
        <v>79</v>
      </c>
      <c r="M1013" s="42" t="s">
        <v>79</v>
      </c>
    </row>
    <row r="1014">
      <c r="A1014" s="30"/>
      <c r="B1014" s="37" t="s">
        <v>79</v>
      </c>
      <c r="E1014" s="21" t="s">
        <v>79</v>
      </c>
      <c r="F1014" s="40"/>
      <c r="G1014" s="4"/>
      <c r="H1014" s="4"/>
      <c r="K1014" s="41" t="str">
        <f>IFERROR(__xludf.DUMMYFUNCTION("""COMPUTED_VALUE"""),"")</f>
        <v/>
      </c>
      <c r="L1014" s="42" t="s">
        <v>79</v>
      </c>
      <c r="M1014" s="42" t="s">
        <v>79</v>
      </c>
    </row>
    <row r="1015">
      <c r="A1015" s="30"/>
      <c r="B1015" s="37" t="s">
        <v>79</v>
      </c>
      <c r="E1015" s="21" t="s">
        <v>79</v>
      </c>
      <c r="F1015" s="40"/>
      <c r="G1015" s="4"/>
      <c r="H1015" s="4"/>
      <c r="K1015" s="41" t="str">
        <f>IFERROR(__xludf.DUMMYFUNCTION("""COMPUTED_VALUE"""),"")</f>
        <v/>
      </c>
      <c r="L1015" s="42" t="s">
        <v>79</v>
      </c>
      <c r="M1015" s="42" t="s">
        <v>79</v>
      </c>
    </row>
    <row r="1016">
      <c r="A1016" s="30"/>
      <c r="B1016" s="37" t="s">
        <v>79</v>
      </c>
      <c r="E1016" s="21" t="s">
        <v>79</v>
      </c>
      <c r="F1016" s="40"/>
      <c r="G1016" s="4"/>
      <c r="H1016" s="4"/>
      <c r="K1016" s="41" t="str">
        <f>IFERROR(__xludf.DUMMYFUNCTION("""COMPUTED_VALUE"""),"")</f>
        <v/>
      </c>
      <c r="L1016" s="42" t="s">
        <v>79</v>
      </c>
      <c r="M1016" s="42" t="s">
        <v>79</v>
      </c>
    </row>
    <row r="1017">
      <c r="A1017" s="30"/>
      <c r="B1017" s="37" t="s">
        <v>79</v>
      </c>
      <c r="E1017" s="21" t="s">
        <v>79</v>
      </c>
      <c r="F1017" s="40"/>
      <c r="G1017" s="4"/>
      <c r="H1017" s="4"/>
      <c r="K1017" s="41" t="str">
        <f>IFERROR(__xludf.DUMMYFUNCTION("""COMPUTED_VALUE"""),"")</f>
        <v/>
      </c>
      <c r="L1017" s="42" t="s">
        <v>79</v>
      </c>
      <c r="M1017" s="42" t="s">
        <v>79</v>
      </c>
    </row>
    <row r="1018">
      <c r="A1018" s="30"/>
      <c r="B1018" s="37" t="s">
        <v>79</v>
      </c>
      <c r="E1018" s="21" t="s">
        <v>79</v>
      </c>
      <c r="F1018" s="40"/>
      <c r="G1018" s="4"/>
      <c r="H1018" s="4"/>
      <c r="K1018" s="41" t="str">
        <f>IFERROR(__xludf.DUMMYFUNCTION("""COMPUTED_VALUE"""),"")</f>
        <v/>
      </c>
      <c r="L1018" s="42" t="s">
        <v>79</v>
      </c>
      <c r="M1018" s="42" t="s">
        <v>79</v>
      </c>
    </row>
    <row r="1019">
      <c r="A1019" s="30"/>
      <c r="B1019" s="37" t="s">
        <v>79</v>
      </c>
      <c r="E1019" s="21" t="s">
        <v>79</v>
      </c>
      <c r="F1019" s="40"/>
      <c r="G1019" s="4"/>
      <c r="H1019" s="4"/>
      <c r="K1019" s="41" t="str">
        <f>IFERROR(__xludf.DUMMYFUNCTION("""COMPUTED_VALUE"""),"")</f>
        <v/>
      </c>
      <c r="L1019" s="42" t="s">
        <v>79</v>
      </c>
      <c r="M1019" s="42" t="s">
        <v>79</v>
      </c>
    </row>
    <row r="1020">
      <c r="A1020" s="30"/>
      <c r="B1020" s="37" t="s">
        <v>79</v>
      </c>
      <c r="E1020" s="21" t="s">
        <v>79</v>
      </c>
      <c r="F1020" s="40"/>
      <c r="G1020" s="4"/>
      <c r="H1020" s="4"/>
      <c r="K1020" s="41" t="str">
        <f>IFERROR(__xludf.DUMMYFUNCTION("""COMPUTED_VALUE"""),"")</f>
        <v/>
      </c>
      <c r="L1020" s="42" t="s">
        <v>79</v>
      </c>
      <c r="M1020" s="42" t="s">
        <v>79</v>
      </c>
    </row>
    <row r="1021">
      <c r="A1021" s="30"/>
      <c r="B1021" s="37" t="s">
        <v>79</v>
      </c>
      <c r="E1021" s="21" t="s">
        <v>79</v>
      </c>
      <c r="F1021" s="40"/>
      <c r="G1021" s="4"/>
      <c r="H1021" s="4"/>
      <c r="K1021" s="41" t="str">
        <f>IFERROR(__xludf.DUMMYFUNCTION("""COMPUTED_VALUE"""),"")</f>
        <v/>
      </c>
      <c r="L1021" s="42" t="s">
        <v>79</v>
      </c>
      <c r="M1021" s="42" t="s">
        <v>79</v>
      </c>
    </row>
    <row r="1022">
      <c r="A1022" s="30"/>
      <c r="B1022" s="37" t="s">
        <v>79</v>
      </c>
      <c r="E1022" s="21" t="s">
        <v>79</v>
      </c>
      <c r="F1022" s="40"/>
      <c r="G1022" s="4"/>
      <c r="H1022" s="4"/>
      <c r="K1022" s="41" t="str">
        <f>IFERROR(__xludf.DUMMYFUNCTION("""COMPUTED_VALUE"""),"")</f>
        <v/>
      </c>
      <c r="L1022" s="42" t="s">
        <v>79</v>
      </c>
      <c r="M1022" s="42" t="s">
        <v>79</v>
      </c>
    </row>
    <row r="1023">
      <c r="A1023" s="30"/>
      <c r="B1023" s="37" t="s">
        <v>79</v>
      </c>
      <c r="E1023" s="21" t="s">
        <v>79</v>
      </c>
      <c r="F1023" s="40"/>
      <c r="G1023" s="4"/>
      <c r="H1023" s="4"/>
      <c r="K1023" s="41" t="str">
        <f>IFERROR(__xludf.DUMMYFUNCTION("""COMPUTED_VALUE"""),"")</f>
        <v/>
      </c>
      <c r="L1023" s="42" t="s">
        <v>79</v>
      </c>
      <c r="M1023" s="42" t="s">
        <v>79</v>
      </c>
    </row>
    <row r="1024">
      <c r="A1024" s="30"/>
      <c r="B1024" s="37" t="s">
        <v>79</v>
      </c>
      <c r="E1024" s="21" t="s">
        <v>79</v>
      </c>
      <c r="F1024" s="40"/>
      <c r="G1024" s="4"/>
      <c r="H1024" s="4"/>
      <c r="K1024" s="41" t="str">
        <f>IFERROR(__xludf.DUMMYFUNCTION("""COMPUTED_VALUE"""),"")</f>
        <v/>
      </c>
      <c r="L1024" s="42" t="s">
        <v>79</v>
      </c>
      <c r="M1024" s="42" t="s">
        <v>79</v>
      </c>
    </row>
    <row r="1025">
      <c r="A1025" s="30"/>
      <c r="B1025" s="37" t="s">
        <v>79</v>
      </c>
      <c r="E1025" s="21" t="s">
        <v>79</v>
      </c>
      <c r="F1025" s="40"/>
      <c r="G1025" s="4"/>
      <c r="H1025" s="4"/>
      <c r="K1025" s="41" t="str">
        <f>IFERROR(__xludf.DUMMYFUNCTION("""COMPUTED_VALUE"""),"")</f>
        <v/>
      </c>
      <c r="L1025" s="42" t="s">
        <v>79</v>
      </c>
      <c r="M1025" s="42" t="s">
        <v>79</v>
      </c>
    </row>
    <row r="1026">
      <c r="A1026" s="30"/>
      <c r="B1026" s="37" t="s">
        <v>79</v>
      </c>
      <c r="E1026" s="21" t="s">
        <v>79</v>
      </c>
      <c r="F1026" s="40"/>
      <c r="G1026" s="4"/>
      <c r="H1026" s="4"/>
      <c r="K1026" s="41" t="str">
        <f>IFERROR(__xludf.DUMMYFUNCTION("""COMPUTED_VALUE"""),"")</f>
        <v/>
      </c>
      <c r="L1026" s="42" t="s">
        <v>79</v>
      </c>
      <c r="M1026" s="42" t="s">
        <v>79</v>
      </c>
    </row>
    <row r="1027">
      <c r="A1027" s="30"/>
      <c r="B1027" s="37" t="s">
        <v>79</v>
      </c>
      <c r="E1027" s="21" t="s">
        <v>79</v>
      </c>
      <c r="F1027" s="40"/>
      <c r="G1027" s="4"/>
      <c r="H1027" s="4"/>
      <c r="K1027" s="41" t="str">
        <f>IFERROR(__xludf.DUMMYFUNCTION("""COMPUTED_VALUE"""),"")</f>
        <v/>
      </c>
      <c r="L1027" s="42" t="s">
        <v>79</v>
      </c>
      <c r="M1027" s="42" t="s">
        <v>79</v>
      </c>
    </row>
    <row r="1028">
      <c r="A1028" s="30"/>
      <c r="B1028" s="37" t="s">
        <v>79</v>
      </c>
      <c r="E1028" s="21" t="s">
        <v>79</v>
      </c>
      <c r="F1028" s="40"/>
      <c r="G1028" s="4"/>
      <c r="H1028" s="4"/>
      <c r="K1028" s="41" t="str">
        <f>IFERROR(__xludf.DUMMYFUNCTION("""COMPUTED_VALUE"""),"")</f>
        <v/>
      </c>
      <c r="L1028" s="42" t="s">
        <v>79</v>
      </c>
      <c r="M1028" s="42" t="s">
        <v>79</v>
      </c>
    </row>
    <row r="1029">
      <c r="A1029" s="30"/>
      <c r="B1029" s="37" t="s">
        <v>79</v>
      </c>
      <c r="E1029" s="21" t="s">
        <v>79</v>
      </c>
      <c r="F1029" s="40"/>
      <c r="G1029" s="4"/>
      <c r="H1029" s="4"/>
      <c r="K1029" s="41" t="str">
        <f>IFERROR(__xludf.DUMMYFUNCTION("""COMPUTED_VALUE"""),"")</f>
        <v/>
      </c>
      <c r="L1029" s="42" t="s">
        <v>79</v>
      </c>
      <c r="M1029" s="42" t="s">
        <v>79</v>
      </c>
    </row>
    <row r="1030">
      <c r="A1030" s="30"/>
      <c r="B1030" s="37" t="s">
        <v>79</v>
      </c>
      <c r="E1030" s="21" t="s">
        <v>79</v>
      </c>
      <c r="F1030" s="40"/>
      <c r="G1030" s="4"/>
      <c r="H1030" s="4"/>
      <c r="K1030" s="41" t="str">
        <f>IFERROR(__xludf.DUMMYFUNCTION("""COMPUTED_VALUE"""),"")</f>
        <v/>
      </c>
      <c r="L1030" s="42" t="s">
        <v>79</v>
      </c>
      <c r="M1030" s="42" t="s">
        <v>79</v>
      </c>
    </row>
    <row r="1031">
      <c r="A1031" s="30"/>
      <c r="B1031" s="37" t="s">
        <v>79</v>
      </c>
      <c r="E1031" s="21" t="s">
        <v>79</v>
      </c>
      <c r="F1031" s="40"/>
      <c r="G1031" s="4"/>
      <c r="H1031" s="4"/>
      <c r="K1031" s="41" t="str">
        <f>IFERROR(__xludf.DUMMYFUNCTION("""COMPUTED_VALUE"""),"")</f>
        <v/>
      </c>
      <c r="L1031" s="42" t="s">
        <v>79</v>
      </c>
      <c r="M1031" s="42" t="s">
        <v>79</v>
      </c>
    </row>
    <row r="1032">
      <c r="A1032" s="30"/>
      <c r="B1032" s="37" t="s">
        <v>79</v>
      </c>
      <c r="E1032" s="21" t="s">
        <v>79</v>
      </c>
      <c r="F1032" s="40"/>
      <c r="G1032" s="4"/>
      <c r="H1032" s="4"/>
      <c r="K1032" s="41" t="str">
        <f>IFERROR(__xludf.DUMMYFUNCTION("""COMPUTED_VALUE"""),"")</f>
        <v/>
      </c>
      <c r="L1032" s="42" t="s">
        <v>79</v>
      </c>
      <c r="M1032" s="42" t="s">
        <v>79</v>
      </c>
    </row>
    <row r="1033">
      <c r="A1033" s="30"/>
      <c r="B1033" s="37" t="s">
        <v>79</v>
      </c>
      <c r="E1033" s="21" t="s">
        <v>79</v>
      </c>
      <c r="F1033" s="40"/>
      <c r="G1033" s="4"/>
      <c r="H1033" s="4"/>
      <c r="K1033" s="41" t="str">
        <f>IFERROR(__xludf.DUMMYFUNCTION("""COMPUTED_VALUE"""),"")</f>
        <v/>
      </c>
      <c r="L1033" s="42" t="s">
        <v>79</v>
      </c>
      <c r="M1033" s="42" t="s">
        <v>79</v>
      </c>
    </row>
    <row r="1034">
      <c r="A1034" s="30"/>
      <c r="B1034" s="37" t="s">
        <v>79</v>
      </c>
      <c r="E1034" s="21" t="s">
        <v>79</v>
      </c>
      <c r="F1034" s="40"/>
      <c r="G1034" s="4"/>
      <c r="H1034" s="4"/>
      <c r="K1034" s="41" t="str">
        <f>IFERROR(__xludf.DUMMYFUNCTION("""COMPUTED_VALUE"""),"")</f>
        <v/>
      </c>
      <c r="L1034" s="42" t="s">
        <v>79</v>
      </c>
      <c r="M1034" s="42" t="s">
        <v>79</v>
      </c>
    </row>
    <row r="1035">
      <c r="A1035" s="30"/>
      <c r="B1035" s="37" t="s">
        <v>79</v>
      </c>
      <c r="E1035" s="21" t="s">
        <v>79</v>
      </c>
      <c r="F1035" s="40"/>
      <c r="G1035" s="4"/>
      <c r="H1035" s="4"/>
      <c r="K1035" s="41" t="str">
        <f>IFERROR(__xludf.DUMMYFUNCTION("""COMPUTED_VALUE"""),"")</f>
        <v/>
      </c>
      <c r="L1035" s="42" t="s">
        <v>79</v>
      </c>
      <c r="M1035" s="42" t="s">
        <v>79</v>
      </c>
    </row>
    <row r="1036">
      <c r="A1036" s="30"/>
      <c r="B1036" s="37" t="s">
        <v>79</v>
      </c>
      <c r="E1036" s="21" t="s">
        <v>79</v>
      </c>
      <c r="F1036" s="40"/>
      <c r="G1036" s="4"/>
      <c r="H1036" s="4"/>
      <c r="K1036" s="41" t="str">
        <f>IFERROR(__xludf.DUMMYFUNCTION("""COMPUTED_VALUE"""),"")</f>
        <v/>
      </c>
      <c r="L1036" s="42" t="s">
        <v>79</v>
      </c>
      <c r="M1036" s="42" t="s">
        <v>79</v>
      </c>
    </row>
    <row r="1037">
      <c r="A1037" s="30"/>
      <c r="B1037" s="37" t="s">
        <v>79</v>
      </c>
      <c r="E1037" s="21" t="s">
        <v>79</v>
      </c>
      <c r="F1037" s="40"/>
      <c r="G1037" s="4"/>
      <c r="H1037" s="4"/>
      <c r="K1037" s="41" t="str">
        <f>IFERROR(__xludf.DUMMYFUNCTION("""COMPUTED_VALUE"""),"")</f>
        <v/>
      </c>
      <c r="L1037" s="42" t="s">
        <v>79</v>
      </c>
      <c r="M1037" s="42" t="s">
        <v>79</v>
      </c>
    </row>
    <row r="1038">
      <c r="A1038" s="30"/>
      <c r="B1038" s="37" t="s">
        <v>79</v>
      </c>
      <c r="E1038" s="21" t="s">
        <v>79</v>
      </c>
      <c r="F1038" s="40"/>
      <c r="G1038" s="4"/>
      <c r="H1038" s="4"/>
      <c r="K1038" s="41" t="str">
        <f>IFERROR(__xludf.DUMMYFUNCTION("""COMPUTED_VALUE"""),"")</f>
        <v/>
      </c>
      <c r="L1038" s="42" t="s">
        <v>79</v>
      </c>
      <c r="M1038" s="42" t="s">
        <v>79</v>
      </c>
    </row>
    <row r="1039">
      <c r="A1039" s="30"/>
      <c r="B1039" s="37" t="s">
        <v>79</v>
      </c>
      <c r="E1039" s="21" t="s">
        <v>79</v>
      </c>
      <c r="F1039" s="40"/>
      <c r="G1039" s="4"/>
      <c r="H1039" s="4"/>
      <c r="K1039" s="41" t="str">
        <f>IFERROR(__xludf.DUMMYFUNCTION("""COMPUTED_VALUE"""),"")</f>
        <v/>
      </c>
      <c r="L1039" s="42" t="s">
        <v>79</v>
      </c>
      <c r="M1039" s="42" t="s">
        <v>79</v>
      </c>
    </row>
    <row r="1040">
      <c r="A1040" s="30"/>
      <c r="B1040" s="37" t="s">
        <v>79</v>
      </c>
      <c r="E1040" s="21" t="s">
        <v>79</v>
      </c>
      <c r="F1040" s="40"/>
      <c r="G1040" s="4"/>
      <c r="H1040" s="4"/>
      <c r="K1040" s="41" t="str">
        <f>IFERROR(__xludf.DUMMYFUNCTION("""COMPUTED_VALUE"""),"")</f>
        <v/>
      </c>
      <c r="L1040" s="42" t="s">
        <v>79</v>
      </c>
      <c r="M1040" s="42" t="s">
        <v>79</v>
      </c>
    </row>
    <row r="1041">
      <c r="A1041" s="30"/>
      <c r="B1041" s="37" t="s">
        <v>79</v>
      </c>
      <c r="E1041" s="21" t="s">
        <v>79</v>
      </c>
      <c r="F1041" s="40"/>
      <c r="G1041" s="4"/>
      <c r="H1041" s="4"/>
      <c r="K1041" s="41" t="str">
        <f>IFERROR(__xludf.DUMMYFUNCTION("""COMPUTED_VALUE"""),"")</f>
        <v/>
      </c>
      <c r="L1041" s="42" t="s">
        <v>79</v>
      </c>
      <c r="M1041" s="42" t="s">
        <v>79</v>
      </c>
    </row>
    <row r="1042">
      <c r="A1042" s="30"/>
      <c r="B1042" s="37" t="s">
        <v>79</v>
      </c>
      <c r="E1042" s="21" t="s">
        <v>79</v>
      </c>
      <c r="F1042" s="40"/>
      <c r="G1042" s="4"/>
      <c r="H1042" s="4"/>
      <c r="K1042" s="41" t="str">
        <f>IFERROR(__xludf.DUMMYFUNCTION("""COMPUTED_VALUE"""),"")</f>
        <v/>
      </c>
      <c r="L1042" s="42" t="s">
        <v>79</v>
      </c>
      <c r="M1042" s="42" t="s">
        <v>79</v>
      </c>
    </row>
    <row r="1043">
      <c r="A1043" s="30"/>
      <c r="B1043" s="37" t="s">
        <v>79</v>
      </c>
      <c r="E1043" s="21" t="s">
        <v>79</v>
      </c>
      <c r="F1043" s="40"/>
      <c r="G1043" s="4"/>
      <c r="H1043" s="4"/>
      <c r="K1043" s="41" t="str">
        <f>IFERROR(__xludf.DUMMYFUNCTION("""COMPUTED_VALUE"""),"")</f>
        <v/>
      </c>
      <c r="L1043" s="42" t="s">
        <v>79</v>
      </c>
      <c r="M1043" s="42" t="s">
        <v>79</v>
      </c>
    </row>
    <row r="1044">
      <c r="A1044" s="30"/>
      <c r="B1044" s="37" t="s">
        <v>79</v>
      </c>
      <c r="E1044" s="21" t="s">
        <v>79</v>
      </c>
      <c r="F1044" s="40"/>
      <c r="G1044" s="4"/>
      <c r="H1044" s="4"/>
      <c r="K1044" s="41" t="str">
        <f>IFERROR(__xludf.DUMMYFUNCTION("""COMPUTED_VALUE"""),"")</f>
        <v/>
      </c>
      <c r="L1044" s="42" t="s">
        <v>79</v>
      </c>
      <c r="M1044" s="42" t="s">
        <v>79</v>
      </c>
    </row>
    <row r="1045">
      <c r="A1045" s="30"/>
      <c r="B1045" s="37" t="s">
        <v>79</v>
      </c>
      <c r="E1045" s="21" t="s">
        <v>79</v>
      </c>
      <c r="F1045" s="40"/>
      <c r="G1045" s="4"/>
      <c r="H1045" s="4"/>
      <c r="K1045" s="41" t="str">
        <f>IFERROR(__xludf.DUMMYFUNCTION("""COMPUTED_VALUE"""),"")</f>
        <v/>
      </c>
      <c r="L1045" s="42" t="s">
        <v>79</v>
      </c>
      <c r="M1045" s="42" t="s">
        <v>79</v>
      </c>
    </row>
    <row r="1046">
      <c r="A1046" s="30"/>
      <c r="B1046" s="37" t="s">
        <v>79</v>
      </c>
      <c r="E1046" s="21" t="s">
        <v>79</v>
      </c>
      <c r="F1046" s="40"/>
      <c r="G1046" s="4"/>
      <c r="H1046" s="4"/>
      <c r="K1046" s="41" t="str">
        <f>IFERROR(__xludf.DUMMYFUNCTION("""COMPUTED_VALUE"""),"")</f>
        <v/>
      </c>
      <c r="L1046" s="42" t="s">
        <v>79</v>
      </c>
      <c r="M1046" s="42" t="s">
        <v>79</v>
      </c>
    </row>
    <row r="1047">
      <c r="A1047" s="30"/>
      <c r="B1047" s="37" t="s">
        <v>79</v>
      </c>
      <c r="E1047" s="21" t="s">
        <v>79</v>
      </c>
      <c r="F1047" s="40"/>
      <c r="G1047" s="4"/>
      <c r="H1047" s="4"/>
      <c r="K1047" s="41" t="str">
        <f>IFERROR(__xludf.DUMMYFUNCTION("""COMPUTED_VALUE"""),"")</f>
        <v/>
      </c>
      <c r="L1047" s="42" t="s">
        <v>79</v>
      </c>
      <c r="M1047" s="42" t="s">
        <v>79</v>
      </c>
    </row>
    <row r="1048">
      <c r="A1048" s="30"/>
      <c r="B1048" s="37" t="s">
        <v>79</v>
      </c>
      <c r="E1048" s="21" t="s">
        <v>79</v>
      </c>
      <c r="F1048" s="40"/>
      <c r="G1048" s="4"/>
      <c r="H1048" s="4"/>
      <c r="K1048" s="41" t="str">
        <f>IFERROR(__xludf.DUMMYFUNCTION("""COMPUTED_VALUE"""),"")</f>
        <v/>
      </c>
      <c r="L1048" s="42" t="s">
        <v>79</v>
      </c>
      <c r="M1048" s="42" t="s">
        <v>79</v>
      </c>
    </row>
    <row r="1049">
      <c r="A1049" s="30"/>
      <c r="B1049" s="37" t="s">
        <v>79</v>
      </c>
      <c r="E1049" s="21" t="s">
        <v>79</v>
      </c>
      <c r="F1049" s="40"/>
      <c r="G1049" s="4"/>
      <c r="H1049" s="4"/>
      <c r="K1049" s="41" t="str">
        <f>IFERROR(__xludf.DUMMYFUNCTION("""COMPUTED_VALUE"""),"")</f>
        <v/>
      </c>
      <c r="L1049" s="42" t="s">
        <v>79</v>
      </c>
      <c r="M1049" s="42" t="s">
        <v>79</v>
      </c>
    </row>
    <row r="1050">
      <c r="A1050" s="30"/>
      <c r="B1050" s="37" t="s">
        <v>79</v>
      </c>
      <c r="E1050" s="21" t="s">
        <v>79</v>
      </c>
      <c r="F1050" s="40"/>
      <c r="G1050" s="4"/>
      <c r="H1050" s="4"/>
      <c r="K1050" s="41" t="str">
        <f>IFERROR(__xludf.DUMMYFUNCTION("""COMPUTED_VALUE"""),"")</f>
        <v/>
      </c>
      <c r="L1050" s="42" t="s">
        <v>79</v>
      </c>
      <c r="M1050" s="42" t="s">
        <v>79</v>
      </c>
    </row>
    <row r="1051">
      <c r="A1051" s="30"/>
      <c r="B1051" s="37" t="s">
        <v>79</v>
      </c>
      <c r="E1051" s="21" t="s">
        <v>79</v>
      </c>
      <c r="F1051" s="40"/>
      <c r="G1051" s="4"/>
      <c r="H1051" s="4"/>
      <c r="K1051" s="41" t="str">
        <f>IFERROR(__xludf.DUMMYFUNCTION("""COMPUTED_VALUE"""),"")</f>
        <v/>
      </c>
      <c r="L1051" s="42" t="s">
        <v>79</v>
      </c>
      <c r="M1051" s="42" t="s">
        <v>79</v>
      </c>
    </row>
    <row r="1052">
      <c r="A1052" s="30"/>
      <c r="B1052" s="37" t="s">
        <v>79</v>
      </c>
      <c r="E1052" s="21" t="s">
        <v>79</v>
      </c>
      <c r="F1052" s="40"/>
      <c r="G1052" s="4"/>
      <c r="H1052" s="4"/>
      <c r="K1052" s="41" t="str">
        <f>IFERROR(__xludf.DUMMYFUNCTION("""COMPUTED_VALUE"""),"")</f>
        <v/>
      </c>
      <c r="L1052" s="42" t="s">
        <v>79</v>
      </c>
      <c r="M1052" s="42" t="s">
        <v>79</v>
      </c>
    </row>
    <row r="1053">
      <c r="A1053" s="30"/>
      <c r="B1053" s="37" t="s">
        <v>79</v>
      </c>
      <c r="E1053" s="21" t="s">
        <v>79</v>
      </c>
      <c r="F1053" s="40"/>
      <c r="G1053" s="4"/>
      <c r="H1053" s="4"/>
      <c r="K1053" s="41" t="str">
        <f>IFERROR(__xludf.DUMMYFUNCTION("""COMPUTED_VALUE"""),"")</f>
        <v/>
      </c>
      <c r="L1053" s="42" t="s">
        <v>79</v>
      </c>
      <c r="M1053" s="42" t="s">
        <v>79</v>
      </c>
    </row>
  </sheetData>
  <mergeCells count="8">
    <mergeCell ref="A1:B1"/>
    <mergeCell ref="E1:F1"/>
    <mergeCell ref="N1:P3"/>
    <mergeCell ref="G2:I2"/>
    <mergeCell ref="G3:I3"/>
    <mergeCell ref="G4:I4"/>
    <mergeCell ref="G5:I5"/>
    <mergeCell ref="E11:I11"/>
  </mergeCells>
  <dataValidations>
    <dataValidation type="list" allowBlank="1" showErrorMessage="1" sqref="A14:A1053">
      <formula1>"Target,Attract,Capture,Engage,Offer,Close,Delivery,Impress,Multiply,Internal"</formula1>
    </dataValidation>
    <dataValidation type="list" allowBlank="1" showErrorMessage="1" sqref="H14:H1053">
      <formula1>Namer!$E$2:$E$5</formula1>
    </dataValidation>
    <dataValidation type="list" allowBlank="1" showErrorMessage="1" sqref="G14:G1053">
      <formula1>Namer!$E$14:$E$1053</formula1>
    </dataValidation>
  </dataValidations>
  <hyperlinks>
    <hyperlink r:id="rId1" ref="N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3"/>
      <c r="B1" s="44" t="s">
        <v>90</v>
      </c>
      <c r="C1" s="44" t="s">
        <v>91</v>
      </c>
      <c r="D1" s="44" t="s">
        <v>92</v>
      </c>
      <c r="E1" s="45" t="s">
        <v>59</v>
      </c>
      <c r="F1" s="46" t="s">
        <v>93</v>
      </c>
      <c r="G1" s="47"/>
      <c r="H1" s="47"/>
      <c r="I1" s="47"/>
      <c r="J1" s="47"/>
      <c r="K1" s="48"/>
      <c r="L1" s="45" t="s">
        <v>94</v>
      </c>
      <c r="M1" s="45" t="s">
        <v>95</v>
      </c>
      <c r="N1" s="43"/>
      <c r="O1" s="49" t="s">
        <v>3</v>
      </c>
      <c r="P1" s="49" t="s">
        <v>96</v>
      </c>
      <c r="Q1" s="49" t="s">
        <v>97</v>
      </c>
      <c r="R1" s="49" t="s">
        <v>98</v>
      </c>
      <c r="S1" s="50"/>
      <c r="T1" s="51" t="s">
        <v>99</v>
      </c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</row>
    <row r="2">
      <c r="A2" s="52"/>
      <c r="B2" s="52"/>
      <c r="C2" s="52"/>
      <c r="D2" s="52"/>
      <c r="E2" s="53"/>
      <c r="F2" s="53"/>
      <c r="G2" s="53"/>
      <c r="H2" s="53"/>
      <c r="I2" s="53"/>
      <c r="J2" s="53"/>
      <c r="K2" s="52"/>
      <c r="L2" s="53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</row>
    <row r="4">
      <c r="A4" s="52"/>
      <c r="B4" s="52"/>
      <c r="C4" s="52"/>
      <c r="D4" s="52"/>
      <c r="E4" s="53"/>
      <c r="F4" s="53"/>
      <c r="G4" s="52"/>
      <c r="H4" s="52"/>
      <c r="I4" s="52"/>
      <c r="J4" s="52"/>
      <c r="K4" s="52"/>
      <c r="L4" s="53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</row>
    <row r="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</row>
    <row r="6">
      <c r="A6" s="52"/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</row>
    <row r="7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</row>
    <row r="8">
      <c r="A8" s="52"/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</row>
    <row r="9">
      <c r="A9" s="52"/>
      <c r="B9" s="52"/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</row>
    <row r="10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</row>
    <row r="11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</row>
    <row r="12">
      <c r="A12" s="52"/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</row>
    <row r="13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</row>
    <row r="14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</row>
    <row r="15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</row>
    <row r="19">
      <c r="A19" s="52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</row>
    <row r="20">
      <c r="A20" s="52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</row>
    <row r="21">
      <c r="A21" s="52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</row>
    <row r="22">
      <c r="A22" s="52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</row>
    <row r="23">
      <c r="A23" s="52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</row>
    <row r="24">
      <c r="A24" s="52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</row>
    <row r="25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</row>
    <row r="26">
      <c r="A26" s="52"/>
      <c r="B26" s="52"/>
      <c r="C26" s="52"/>
      <c r="D26" s="52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</row>
    <row r="27">
      <c r="A27" s="52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</row>
    <row r="28">
      <c r="A28" s="52"/>
      <c r="B28" s="52"/>
      <c r="C28" s="52"/>
      <c r="D28" s="52"/>
      <c r="E28" s="52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</row>
    <row r="29">
      <c r="A29" s="52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</row>
    <row r="30">
      <c r="A30" s="52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</row>
    <row r="31">
      <c r="A31" s="52"/>
      <c r="B31" s="52"/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</row>
    <row r="32">
      <c r="A32" s="52"/>
      <c r="B32" s="52"/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</row>
    <row r="33">
      <c r="A33" s="52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</row>
    <row r="34">
      <c r="A34" s="52"/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</row>
    <row r="35">
      <c r="A35" s="52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</row>
    <row r="36">
      <c r="A36" s="52"/>
      <c r="B36" s="52"/>
      <c r="C36" s="52"/>
      <c r="D36" s="52"/>
      <c r="E36" s="52"/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</row>
    <row r="37">
      <c r="A37" s="52"/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</row>
    <row r="38">
      <c r="A38" s="52"/>
      <c r="B38" s="52"/>
      <c r="C38" s="52"/>
      <c r="D38" s="52"/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</row>
    <row r="39">
      <c r="A39" s="52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</row>
    <row r="40">
      <c r="A40" s="52"/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</row>
    <row r="41">
      <c r="A41" s="52"/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</row>
    <row r="43">
      <c r="A43" s="52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/>
    </row>
    <row r="44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2"/>
      <c r="AE44" s="52"/>
      <c r="AF44" s="52"/>
      <c r="AG44" s="52"/>
    </row>
    <row r="45">
      <c r="A45" s="52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</row>
    <row r="46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</row>
    <row r="47">
      <c r="A47" s="52"/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  <c r="AA47" s="52"/>
      <c r="AB47" s="52"/>
      <c r="AC47" s="52"/>
      <c r="AD47" s="52"/>
      <c r="AE47" s="52"/>
      <c r="AF47" s="52"/>
      <c r="AG47" s="52"/>
    </row>
    <row r="48">
      <c r="A48" s="52"/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  <c r="AA48" s="52"/>
      <c r="AB48" s="52"/>
      <c r="AC48" s="52"/>
      <c r="AD48" s="52"/>
      <c r="AE48" s="52"/>
      <c r="AF48" s="52"/>
      <c r="AG48" s="52"/>
    </row>
    <row r="49">
      <c r="A49" s="52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  <c r="AA49" s="52"/>
      <c r="AB49" s="52"/>
      <c r="AC49" s="52"/>
      <c r="AD49" s="52"/>
      <c r="AE49" s="52"/>
      <c r="AF49" s="52"/>
      <c r="AG49" s="52"/>
    </row>
    <row r="50">
      <c r="A50" s="52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</row>
    <row r="51">
      <c r="A51" s="52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52"/>
      <c r="AF51" s="52"/>
      <c r="AG51" s="52"/>
    </row>
    <row r="52">
      <c r="A52" s="52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  <c r="AB52" s="52"/>
      <c r="AC52" s="52"/>
      <c r="AD52" s="52"/>
      <c r="AE52" s="52"/>
      <c r="AF52" s="52"/>
      <c r="AG52" s="52"/>
    </row>
    <row r="53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  <c r="AA53" s="52"/>
      <c r="AB53" s="52"/>
      <c r="AC53" s="52"/>
      <c r="AD53" s="52"/>
      <c r="AE53" s="52"/>
      <c r="AF53" s="52"/>
      <c r="AG53" s="52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  <c r="AA54" s="52"/>
      <c r="AB54" s="52"/>
      <c r="AC54" s="52"/>
      <c r="AD54" s="52"/>
      <c r="AE54" s="52"/>
      <c r="AF54" s="52"/>
      <c r="AG54" s="52"/>
    </row>
    <row r="55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</row>
    <row r="56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  <c r="AA56" s="52"/>
      <c r="AB56" s="52"/>
      <c r="AC56" s="52"/>
      <c r="AD56" s="52"/>
      <c r="AE56" s="52"/>
      <c r="AF56" s="52"/>
      <c r="AG56" s="52"/>
    </row>
    <row r="57">
      <c r="A57" s="52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2"/>
      <c r="AE57" s="52"/>
      <c r="AF57" s="52"/>
      <c r="AG57" s="52"/>
    </row>
    <row r="58">
      <c r="A58" s="52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  <c r="AA58" s="52"/>
      <c r="AB58" s="52"/>
      <c r="AC58" s="52"/>
      <c r="AD58" s="52"/>
      <c r="AE58" s="52"/>
      <c r="AF58" s="52"/>
      <c r="AG58" s="52"/>
    </row>
    <row r="59">
      <c r="A59" s="52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</row>
    <row r="60">
      <c r="A60" s="52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  <c r="AA60" s="52"/>
      <c r="AB60" s="52"/>
      <c r="AC60" s="52"/>
      <c r="AD60" s="52"/>
      <c r="AE60" s="52"/>
      <c r="AF60" s="52"/>
      <c r="AG60" s="52"/>
    </row>
    <row r="6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</row>
    <row r="62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</row>
    <row r="6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2"/>
      <c r="AE63" s="52"/>
      <c r="AF63" s="52"/>
      <c r="AG63" s="52"/>
    </row>
    <row r="64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</row>
    <row r="65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2"/>
      <c r="AE65" s="52"/>
      <c r="AF65" s="52"/>
      <c r="AG65" s="52"/>
    </row>
    <row r="66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</row>
    <row r="68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</row>
    <row r="69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</row>
    <row r="70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</row>
    <row r="7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</row>
    <row r="72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</row>
    <row r="7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</row>
    <row r="74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</row>
    <row r="75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</row>
    <row r="76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</row>
    <row r="77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</row>
    <row r="79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</row>
    <row r="80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</row>
    <row r="81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</row>
    <row r="82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</row>
    <row r="8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</row>
    <row r="84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</row>
    <row r="85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</row>
    <row r="86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</row>
    <row r="87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</row>
    <row r="88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</row>
    <row r="89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  <c r="AA156" s="52"/>
      <c r="AB156" s="52"/>
      <c r="AC156" s="52"/>
      <c r="AD156" s="52"/>
      <c r="AE156" s="52"/>
      <c r="AF156" s="52"/>
      <c r="AG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  <c r="AA157" s="52"/>
      <c r="AB157" s="52"/>
      <c r="AC157" s="52"/>
      <c r="AD157" s="52"/>
      <c r="AE157" s="52"/>
      <c r="AF157" s="52"/>
      <c r="AG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  <c r="AA158" s="52"/>
      <c r="AB158" s="52"/>
      <c r="AC158" s="52"/>
      <c r="AD158" s="52"/>
      <c r="AE158" s="52"/>
      <c r="AF158" s="52"/>
      <c r="AG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  <c r="AA159" s="52"/>
      <c r="AB159" s="52"/>
      <c r="AC159" s="52"/>
      <c r="AD159" s="52"/>
      <c r="AE159" s="52"/>
      <c r="AF159" s="52"/>
      <c r="AG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  <c r="AA160" s="52"/>
      <c r="AB160" s="52"/>
      <c r="AC160" s="52"/>
      <c r="AD160" s="52"/>
      <c r="AE160" s="52"/>
      <c r="AF160" s="52"/>
      <c r="AG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  <c r="AA161" s="52"/>
      <c r="AB161" s="52"/>
      <c r="AC161" s="52"/>
      <c r="AD161" s="52"/>
      <c r="AE161" s="52"/>
      <c r="AF161" s="52"/>
      <c r="AG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  <c r="AA162" s="52"/>
      <c r="AB162" s="52"/>
      <c r="AC162" s="52"/>
      <c r="AD162" s="52"/>
      <c r="AE162" s="52"/>
      <c r="AF162" s="52"/>
      <c r="AG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  <c r="AA168" s="52"/>
      <c r="AB168" s="52"/>
      <c r="AC168" s="52"/>
      <c r="AD168" s="52"/>
      <c r="AE168" s="52"/>
      <c r="AF168" s="52"/>
      <c r="AG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  <c r="AA169" s="52"/>
      <c r="AB169" s="52"/>
      <c r="AC169" s="52"/>
      <c r="AD169" s="52"/>
      <c r="AE169" s="52"/>
      <c r="AF169" s="52"/>
      <c r="AG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  <c r="AA170" s="52"/>
      <c r="AB170" s="52"/>
      <c r="AC170" s="52"/>
      <c r="AD170" s="52"/>
      <c r="AE170" s="52"/>
      <c r="AF170" s="52"/>
      <c r="AG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  <c r="AA171" s="52"/>
      <c r="AB171" s="52"/>
      <c r="AC171" s="52"/>
      <c r="AD171" s="52"/>
      <c r="AE171" s="52"/>
      <c r="AF171" s="52"/>
      <c r="AG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  <c r="AA172" s="52"/>
      <c r="AB172" s="52"/>
      <c r="AC172" s="52"/>
      <c r="AD172" s="52"/>
      <c r="AE172" s="52"/>
      <c r="AF172" s="52"/>
      <c r="AG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  <c r="AA173" s="52"/>
      <c r="AB173" s="52"/>
      <c r="AC173" s="52"/>
      <c r="AD173" s="52"/>
      <c r="AE173" s="52"/>
      <c r="AF173" s="52"/>
      <c r="AG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  <c r="AG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  <c r="AA175" s="52"/>
      <c r="AB175" s="52"/>
      <c r="AC175" s="52"/>
      <c r="AD175" s="52"/>
      <c r="AE175" s="52"/>
      <c r="AF175" s="52"/>
      <c r="AG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  <c r="AA176" s="52"/>
      <c r="AB176" s="52"/>
      <c r="AC176" s="52"/>
      <c r="AD176" s="52"/>
      <c r="AE176" s="52"/>
      <c r="AF176" s="52"/>
      <c r="AG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  <c r="AA177" s="52"/>
      <c r="AB177" s="52"/>
      <c r="AC177" s="52"/>
      <c r="AD177" s="52"/>
      <c r="AE177" s="52"/>
      <c r="AF177" s="52"/>
      <c r="AG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  <c r="AA178" s="52"/>
      <c r="AB178" s="52"/>
      <c r="AC178" s="52"/>
      <c r="AD178" s="52"/>
      <c r="AE178" s="52"/>
      <c r="AF178" s="52"/>
      <c r="AG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  <c r="AA179" s="52"/>
      <c r="AB179" s="52"/>
      <c r="AC179" s="52"/>
      <c r="AD179" s="52"/>
      <c r="AE179" s="52"/>
      <c r="AF179" s="52"/>
      <c r="AG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  <c r="AA213" s="52"/>
      <c r="AB213" s="52"/>
      <c r="AC213" s="52"/>
      <c r="AD213" s="52"/>
      <c r="AE213" s="52"/>
      <c r="AF213" s="52"/>
      <c r="AG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  <c r="AA214" s="52"/>
      <c r="AB214" s="52"/>
      <c r="AC214" s="52"/>
      <c r="AD214" s="52"/>
      <c r="AE214" s="52"/>
      <c r="AF214" s="52"/>
      <c r="AG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  <c r="AA215" s="52"/>
      <c r="AB215" s="52"/>
      <c r="AC215" s="52"/>
      <c r="AD215" s="52"/>
      <c r="AE215" s="52"/>
      <c r="AF215" s="52"/>
      <c r="AG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  <c r="AA216" s="52"/>
      <c r="AB216" s="52"/>
      <c r="AC216" s="52"/>
      <c r="AD216" s="52"/>
      <c r="AE216" s="52"/>
      <c r="AF216" s="52"/>
      <c r="AG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52"/>
      <c r="AD217" s="52"/>
      <c r="AE217" s="52"/>
      <c r="AF217" s="52"/>
      <c r="AG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  <c r="AA218" s="52"/>
      <c r="AB218" s="52"/>
      <c r="AC218" s="52"/>
      <c r="AD218" s="52"/>
      <c r="AE218" s="52"/>
      <c r="AF218" s="52"/>
      <c r="AG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  <c r="AA219" s="52"/>
      <c r="AB219" s="52"/>
      <c r="AC219" s="52"/>
      <c r="AD219" s="52"/>
      <c r="AE219" s="52"/>
      <c r="AF219" s="52"/>
      <c r="AG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  <c r="AA220" s="52"/>
      <c r="AB220" s="52"/>
      <c r="AC220" s="52"/>
      <c r="AD220" s="52"/>
      <c r="AE220" s="52"/>
      <c r="AF220" s="52"/>
      <c r="AG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  <c r="AA221" s="52"/>
      <c r="AB221" s="52"/>
      <c r="AC221" s="52"/>
      <c r="AD221" s="52"/>
      <c r="AE221" s="52"/>
      <c r="AF221" s="52"/>
      <c r="AG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  <c r="AA222" s="52"/>
      <c r="AB222" s="52"/>
      <c r="AC222" s="52"/>
      <c r="AD222" s="52"/>
      <c r="AE222" s="52"/>
      <c r="AF222" s="52"/>
      <c r="AG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  <c r="AA223" s="52"/>
      <c r="AB223" s="52"/>
      <c r="AC223" s="52"/>
      <c r="AD223" s="52"/>
      <c r="AE223" s="52"/>
      <c r="AF223" s="52"/>
      <c r="AG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  <c r="AA224" s="52"/>
      <c r="AB224" s="52"/>
      <c r="AC224" s="52"/>
      <c r="AD224" s="52"/>
      <c r="AE224" s="52"/>
      <c r="AF224" s="52"/>
      <c r="AG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  <c r="AA225" s="52"/>
      <c r="AB225" s="52"/>
      <c r="AC225" s="52"/>
      <c r="AD225" s="52"/>
      <c r="AE225" s="52"/>
      <c r="AF225" s="52"/>
      <c r="AG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  <c r="AA226" s="52"/>
      <c r="AB226" s="52"/>
      <c r="AC226" s="52"/>
      <c r="AD226" s="52"/>
      <c r="AE226" s="52"/>
      <c r="AF226" s="52"/>
      <c r="AG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  <c r="AA227" s="52"/>
      <c r="AB227" s="52"/>
      <c r="AC227" s="52"/>
      <c r="AD227" s="52"/>
      <c r="AE227" s="52"/>
      <c r="AF227" s="52"/>
      <c r="AG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  <c r="AA228" s="52"/>
      <c r="AB228" s="52"/>
      <c r="AC228" s="52"/>
      <c r="AD228" s="52"/>
      <c r="AE228" s="52"/>
      <c r="AF228" s="52"/>
      <c r="AG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  <c r="AA229" s="52"/>
      <c r="AB229" s="52"/>
      <c r="AC229" s="52"/>
      <c r="AD229" s="52"/>
      <c r="AE229" s="52"/>
      <c r="AF229" s="52"/>
      <c r="AG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  <c r="AA230" s="52"/>
      <c r="AB230" s="52"/>
      <c r="AC230" s="52"/>
      <c r="AD230" s="52"/>
      <c r="AE230" s="52"/>
      <c r="AF230" s="52"/>
      <c r="AG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  <c r="AA231" s="52"/>
      <c r="AB231" s="52"/>
      <c r="AC231" s="52"/>
      <c r="AD231" s="52"/>
      <c r="AE231" s="52"/>
      <c r="AF231" s="52"/>
      <c r="AG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  <c r="AA233" s="52"/>
      <c r="AB233" s="52"/>
      <c r="AC233" s="52"/>
      <c r="AD233" s="52"/>
      <c r="AE233" s="52"/>
      <c r="AF233" s="52"/>
      <c r="AG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  <c r="AA234" s="52"/>
      <c r="AB234" s="52"/>
      <c r="AC234" s="52"/>
      <c r="AD234" s="52"/>
      <c r="AE234" s="52"/>
      <c r="AF234" s="52"/>
      <c r="AG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  <c r="AA235" s="52"/>
      <c r="AB235" s="52"/>
      <c r="AC235" s="52"/>
      <c r="AD235" s="52"/>
      <c r="AE235" s="52"/>
      <c r="AF235" s="52"/>
      <c r="AG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  <c r="AA236" s="52"/>
      <c r="AB236" s="52"/>
      <c r="AC236" s="52"/>
      <c r="AD236" s="52"/>
      <c r="AE236" s="52"/>
      <c r="AF236" s="52"/>
      <c r="AG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  <c r="AA237" s="52"/>
      <c r="AB237" s="52"/>
      <c r="AC237" s="52"/>
      <c r="AD237" s="52"/>
      <c r="AE237" s="52"/>
      <c r="AF237" s="52"/>
      <c r="AG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  <c r="AA238" s="52"/>
      <c r="AB238" s="52"/>
      <c r="AC238" s="52"/>
      <c r="AD238" s="52"/>
      <c r="AE238" s="52"/>
      <c r="AF238" s="52"/>
      <c r="AG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  <c r="AA273" s="52"/>
      <c r="AB273" s="52"/>
      <c r="AC273" s="52"/>
      <c r="AD273" s="52"/>
      <c r="AE273" s="52"/>
      <c r="AF273" s="52"/>
      <c r="AG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  <c r="AA274" s="52"/>
      <c r="AB274" s="52"/>
      <c r="AC274" s="52"/>
      <c r="AD274" s="52"/>
      <c r="AE274" s="52"/>
      <c r="AF274" s="52"/>
      <c r="AG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  <c r="AA275" s="52"/>
      <c r="AB275" s="52"/>
      <c r="AC275" s="52"/>
      <c r="AD275" s="52"/>
      <c r="AE275" s="52"/>
      <c r="AF275" s="52"/>
      <c r="AG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  <c r="AA277" s="52"/>
      <c r="AB277" s="52"/>
      <c r="AC277" s="52"/>
      <c r="AD277" s="52"/>
      <c r="AE277" s="52"/>
      <c r="AF277" s="52"/>
      <c r="AG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  <c r="AA278" s="52"/>
      <c r="AB278" s="52"/>
      <c r="AC278" s="52"/>
      <c r="AD278" s="52"/>
      <c r="AE278" s="52"/>
      <c r="AF278" s="52"/>
      <c r="AG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  <c r="AA279" s="52"/>
      <c r="AB279" s="52"/>
      <c r="AC279" s="52"/>
      <c r="AD279" s="52"/>
      <c r="AE279" s="52"/>
      <c r="AF279" s="52"/>
      <c r="AG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  <c r="AA280" s="52"/>
      <c r="AB280" s="52"/>
      <c r="AC280" s="52"/>
      <c r="AD280" s="52"/>
      <c r="AE280" s="52"/>
      <c r="AF280" s="52"/>
      <c r="AG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  <c r="AA281" s="52"/>
      <c r="AB281" s="52"/>
      <c r="AC281" s="52"/>
      <c r="AD281" s="52"/>
      <c r="AE281" s="52"/>
      <c r="AF281" s="52"/>
      <c r="AG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  <c r="AA282" s="52"/>
      <c r="AB282" s="52"/>
      <c r="AC282" s="52"/>
      <c r="AD282" s="52"/>
      <c r="AE282" s="52"/>
      <c r="AF282" s="52"/>
      <c r="AG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  <c r="AA283" s="52"/>
      <c r="AB283" s="52"/>
      <c r="AC283" s="52"/>
      <c r="AD283" s="52"/>
      <c r="AE283" s="52"/>
      <c r="AF283" s="52"/>
      <c r="AG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  <c r="AA284" s="52"/>
      <c r="AB284" s="52"/>
      <c r="AC284" s="52"/>
      <c r="AD284" s="52"/>
      <c r="AE284" s="52"/>
      <c r="AF284" s="52"/>
      <c r="AG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  <c r="AA285" s="52"/>
      <c r="AB285" s="52"/>
      <c r="AC285" s="52"/>
      <c r="AD285" s="52"/>
      <c r="AE285" s="52"/>
      <c r="AF285" s="52"/>
      <c r="AG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  <c r="AA286" s="52"/>
      <c r="AB286" s="52"/>
      <c r="AC286" s="52"/>
      <c r="AD286" s="52"/>
      <c r="AE286" s="52"/>
      <c r="AF286" s="52"/>
      <c r="AG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  <c r="AA287" s="52"/>
      <c r="AB287" s="52"/>
      <c r="AC287" s="52"/>
      <c r="AD287" s="52"/>
      <c r="AE287" s="52"/>
      <c r="AF287" s="52"/>
      <c r="AG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  <c r="AA288" s="52"/>
      <c r="AB288" s="52"/>
      <c r="AC288" s="52"/>
      <c r="AD288" s="52"/>
      <c r="AE288" s="52"/>
      <c r="AF288" s="52"/>
      <c r="AG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  <c r="AA289" s="52"/>
      <c r="AB289" s="52"/>
      <c r="AC289" s="52"/>
      <c r="AD289" s="52"/>
      <c r="AE289" s="52"/>
      <c r="AF289" s="52"/>
      <c r="AG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  <c r="AA290" s="52"/>
      <c r="AB290" s="52"/>
      <c r="AC290" s="52"/>
      <c r="AD290" s="52"/>
      <c r="AE290" s="52"/>
      <c r="AF290" s="52"/>
      <c r="AG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  <c r="AB324" s="52"/>
      <c r="AC324" s="52"/>
      <c r="AD324" s="52"/>
      <c r="AE324" s="52"/>
      <c r="AF324" s="52"/>
      <c r="AG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  <c r="AB325" s="52"/>
      <c r="AC325" s="52"/>
      <c r="AD325" s="52"/>
      <c r="AE325" s="52"/>
      <c r="AF325" s="52"/>
      <c r="AG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  <c r="AB326" s="52"/>
      <c r="AC326" s="52"/>
      <c r="AD326" s="52"/>
      <c r="AE326" s="52"/>
      <c r="AF326" s="52"/>
      <c r="AG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  <c r="AA327" s="52"/>
      <c r="AB327" s="52"/>
      <c r="AC327" s="52"/>
      <c r="AD327" s="52"/>
      <c r="AE327" s="52"/>
      <c r="AF327" s="52"/>
      <c r="AG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  <c r="AB328" s="52"/>
      <c r="AC328" s="52"/>
      <c r="AD328" s="52"/>
      <c r="AE328" s="52"/>
      <c r="AF328" s="52"/>
      <c r="AG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  <c r="AB329" s="52"/>
      <c r="AC329" s="52"/>
      <c r="AD329" s="52"/>
      <c r="AE329" s="52"/>
      <c r="AF329" s="52"/>
      <c r="AG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  <c r="AB330" s="52"/>
      <c r="AC330" s="52"/>
      <c r="AD330" s="52"/>
      <c r="AE330" s="52"/>
      <c r="AF330" s="52"/>
      <c r="AG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  <c r="AB331" s="52"/>
      <c r="AC331" s="52"/>
      <c r="AD331" s="52"/>
      <c r="AE331" s="52"/>
      <c r="AF331" s="52"/>
      <c r="AG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  <c r="AB332" s="52"/>
      <c r="AC332" s="52"/>
      <c r="AD332" s="52"/>
      <c r="AE332" s="52"/>
      <c r="AF332" s="52"/>
      <c r="AG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  <c r="AB333" s="52"/>
      <c r="AC333" s="52"/>
      <c r="AD333" s="52"/>
      <c r="AE333" s="52"/>
      <c r="AF333" s="52"/>
      <c r="AG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  <c r="AB334" s="52"/>
      <c r="AC334" s="52"/>
      <c r="AD334" s="52"/>
      <c r="AE334" s="52"/>
      <c r="AF334" s="52"/>
      <c r="AG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  <c r="AB335" s="52"/>
      <c r="AC335" s="52"/>
      <c r="AD335" s="52"/>
      <c r="AE335" s="52"/>
      <c r="AF335" s="52"/>
      <c r="AG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  <c r="AA336" s="52"/>
      <c r="AB336" s="52"/>
      <c r="AC336" s="52"/>
      <c r="AD336" s="52"/>
      <c r="AE336" s="52"/>
      <c r="AF336" s="52"/>
      <c r="AG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  <c r="AB337" s="52"/>
      <c r="AC337" s="52"/>
      <c r="AD337" s="52"/>
      <c r="AE337" s="52"/>
      <c r="AF337" s="52"/>
      <c r="AG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  <c r="AB338" s="52"/>
      <c r="AC338" s="52"/>
      <c r="AD338" s="52"/>
      <c r="AE338" s="52"/>
      <c r="AF338" s="52"/>
      <c r="AG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  <c r="AA339" s="52"/>
      <c r="AB339" s="52"/>
      <c r="AC339" s="52"/>
      <c r="AD339" s="52"/>
      <c r="AE339" s="52"/>
      <c r="AF339" s="52"/>
      <c r="AG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  <c r="AA340" s="52"/>
      <c r="AB340" s="52"/>
      <c r="AC340" s="52"/>
      <c r="AD340" s="52"/>
      <c r="AE340" s="52"/>
      <c r="AF340" s="52"/>
      <c r="AG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  <c r="AA341" s="52"/>
      <c r="AB341" s="52"/>
      <c r="AC341" s="52"/>
      <c r="AD341" s="52"/>
      <c r="AE341" s="52"/>
      <c r="AF341" s="52"/>
      <c r="AG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  <c r="AA342" s="52"/>
      <c r="AB342" s="52"/>
      <c r="AC342" s="52"/>
      <c r="AD342" s="52"/>
      <c r="AE342" s="52"/>
      <c r="AF342" s="52"/>
      <c r="AG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  <c r="AA343" s="52"/>
      <c r="AB343" s="52"/>
      <c r="AC343" s="52"/>
      <c r="AD343" s="52"/>
      <c r="AE343" s="52"/>
      <c r="AF343" s="52"/>
      <c r="AG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  <c r="AA344" s="52"/>
      <c r="AB344" s="52"/>
      <c r="AC344" s="52"/>
      <c r="AD344" s="52"/>
      <c r="AE344" s="52"/>
      <c r="AF344" s="52"/>
      <c r="AG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  <c r="AA345" s="52"/>
      <c r="AB345" s="52"/>
      <c r="AC345" s="52"/>
      <c r="AD345" s="52"/>
      <c r="AE345" s="52"/>
      <c r="AF345" s="52"/>
      <c r="AG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  <c r="AA379" s="52"/>
      <c r="AB379" s="52"/>
      <c r="AC379" s="52"/>
      <c r="AD379" s="52"/>
      <c r="AE379" s="52"/>
      <c r="AF379" s="52"/>
      <c r="AG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  <c r="AA380" s="52"/>
      <c r="AB380" s="52"/>
      <c r="AC380" s="52"/>
      <c r="AD380" s="52"/>
      <c r="AE380" s="52"/>
      <c r="AF380" s="52"/>
      <c r="AG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  <c r="AA381" s="52"/>
      <c r="AB381" s="52"/>
      <c r="AC381" s="52"/>
      <c r="AD381" s="52"/>
      <c r="AE381" s="52"/>
      <c r="AF381" s="52"/>
      <c r="AG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  <c r="AA382" s="52"/>
      <c r="AB382" s="52"/>
      <c r="AC382" s="52"/>
      <c r="AD382" s="52"/>
      <c r="AE382" s="52"/>
      <c r="AF382" s="52"/>
      <c r="AG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  <c r="AA383" s="52"/>
      <c r="AB383" s="52"/>
      <c r="AC383" s="52"/>
      <c r="AD383" s="52"/>
      <c r="AE383" s="52"/>
      <c r="AF383" s="52"/>
      <c r="AG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  <c r="AA384" s="52"/>
      <c r="AB384" s="52"/>
      <c r="AC384" s="52"/>
      <c r="AD384" s="52"/>
      <c r="AE384" s="52"/>
      <c r="AF384" s="52"/>
      <c r="AG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  <c r="AA385" s="52"/>
      <c r="AB385" s="52"/>
      <c r="AC385" s="52"/>
      <c r="AD385" s="52"/>
      <c r="AE385" s="52"/>
      <c r="AF385" s="52"/>
      <c r="AG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  <c r="AA386" s="52"/>
      <c r="AB386" s="52"/>
      <c r="AC386" s="52"/>
      <c r="AD386" s="52"/>
      <c r="AE386" s="52"/>
      <c r="AF386" s="52"/>
      <c r="AG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  <c r="AA387" s="52"/>
      <c r="AB387" s="52"/>
      <c r="AC387" s="52"/>
      <c r="AD387" s="52"/>
      <c r="AE387" s="52"/>
      <c r="AF387" s="52"/>
      <c r="AG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  <c r="AA388" s="52"/>
      <c r="AB388" s="52"/>
      <c r="AC388" s="52"/>
      <c r="AD388" s="52"/>
      <c r="AE388" s="52"/>
      <c r="AF388" s="52"/>
      <c r="AG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  <c r="AA389" s="52"/>
      <c r="AB389" s="52"/>
      <c r="AC389" s="52"/>
      <c r="AD389" s="52"/>
      <c r="AE389" s="52"/>
      <c r="AF389" s="52"/>
      <c r="AG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  <c r="AA390" s="52"/>
      <c r="AB390" s="52"/>
      <c r="AC390" s="52"/>
      <c r="AD390" s="52"/>
      <c r="AE390" s="52"/>
      <c r="AF390" s="52"/>
      <c r="AG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  <c r="AA391" s="52"/>
      <c r="AB391" s="52"/>
      <c r="AC391" s="52"/>
      <c r="AD391" s="52"/>
      <c r="AE391" s="52"/>
      <c r="AF391" s="52"/>
      <c r="AG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  <c r="AA392" s="52"/>
      <c r="AB392" s="52"/>
      <c r="AC392" s="52"/>
      <c r="AD392" s="52"/>
      <c r="AE392" s="52"/>
      <c r="AF392" s="52"/>
      <c r="AG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  <c r="AA393" s="52"/>
      <c r="AB393" s="52"/>
      <c r="AC393" s="52"/>
      <c r="AD393" s="52"/>
      <c r="AE393" s="52"/>
      <c r="AF393" s="52"/>
      <c r="AG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  <c r="AA394" s="52"/>
      <c r="AB394" s="52"/>
      <c r="AC394" s="52"/>
      <c r="AD394" s="52"/>
      <c r="AE394" s="52"/>
      <c r="AF394" s="52"/>
      <c r="AG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  <c r="AA395" s="52"/>
      <c r="AB395" s="52"/>
      <c r="AC395" s="52"/>
      <c r="AD395" s="52"/>
      <c r="AE395" s="52"/>
      <c r="AF395" s="52"/>
      <c r="AG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  <c r="AA396" s="52"/>
      <c r="AB396" s="52"/>
      <c r="AC396" s="52"/>
      <c r="AD396" s="52"/>
      <c r="AE396" s="52"/>
      <c r="AF396" s="52"/>
      <c r="AG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  <c r="AA397" s="52"/>
      <c r="AB397" s="52"/>
      <c r="AC397" s="52"/>
      <c r="AD397" s="52"/>
      <c r="AE397" s="52"/>
      <c r="AF397" s="52"/>
      <c r="AG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  <c r="AA399" s="52"/>
      <c r="AB399" s="52"/>
      <c r="AC399" s="52"/>
      <c r="AD399" s="52"/>
      <c r="AE399" s="52"/>
      <c r="AF399" s="52"/>
      <c r="AG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  <c r="AA400" s="52"/>
      <c r="AB400" s="52"/>
      <c r="AC400" s="52"/>
      <c r="AD400" s="52"/>
      <c r="AE400" s="52"/>
      <c r="AF400" s="52"/>
      <c r="AG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  <c r="AA401" s="52"/>
      <c r="AB401" s="52"/>
      <c r="AC401" s="52"/>
      <c r="AD401" s="52"/>
      <c r="AE401" s="52"/>
      <c r="AF401" s="52"/>
      <c r="AG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  <c r="AA402" s="52"/>
      <c r="AB402" s="52"/>
      <c r="AC402" s="52"/>
      <c r="AD402" s="52"/>
      <c r="AE402" s="52"/>
      <c r="AF402" s="52"/>
      <c r="AG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  <c r="AA403" s="52"/>
      <c r="AB403" s="52"/>
      <c r="AC403" s="52"/>
      <c r="AD403" s="52"/>
      <c r="AE403" s="52"/>
      <c r="AF403" s="52"/>
      <c r="AG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  <c r="AA437" s="52"/>
      <c r="AB437" s="52"/>
      <c r="AC437" s="52"/>
      <c r="AD437" s="52"/>
      <c r="AE437" s="52"/>
      <c r="AF437" s="52"/>
      <c r="AG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  <c r="AA438" s="52"/>
      <c r="AB438" s="52"/>
      <c r="AC438" s="52"/>
      <c r="AD438" s="52"/>
      <c r="AE438" s="52"/>
      <c r="AF438" s="52"/>
      <c r="AG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  <c r="AA439" s="52"/>
      <c r="AB439" s="52"/>
      <c r="AC439" s="52"/>
      <c r="AD439" s="52"/>
      <c r="AE439" s="52"/>
      <c r="AF439" s="52"/>
      <c r="AG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  <c r="AA440" s="52"/>
      <c r="AB440" s="52"/>
      <c r="AC440" s="52"/>
      <c r="AD440" s="52"/>
      <c r="AE440" s="52"/>
      <c r="AF440" s="52"/>
      <c r="AG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  <c r="AA475" s="52"/>
      <c r="AB475" s="52"/>
      <c r="AC475" s="52"/>
      <c r="AD475" s="52"/>
      <c r="AE475" s="52"/>
      <c r="AF475" s="52"/>
      <c r="AG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  <c r="AA476" s="52"/>
      <c r="AB476" s="52"/>
      <c r="AC476" s="52"/>
      <c r="AD476" s="52"/>
      <c r="AE476" s="52"/>
      <c r="AF476" s="52"/>
      <c r="AG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  <c r="AA477" s="52"/>
      <c r="AB477" s="52"/>
      <c r="AC477" s="52"/>
      <c r="AD477" s="52"/>
      <c r="AE477" s="52"/>
      <c r="AF477" s="52"/>
      <c r="AG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  <c r="AA478" s="52"/>
      <c r="AB478" s="52"/>
      <c r="AC478" s="52"/>
      <c r="AD478" s="52"/>
      <c r="AE478" s="52"/>
      <c r="AF478" s="52"/>
      <c r="AG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  <c r="AA479" s="52"/>
      <c r="AB479" s="52"/>
      <c r="AC479" s="52"/>
      <c r="AD479" s="52"/>
      <c r="AE479" s="52"/>
      <c r="AF479" s="52"/>
      <c r="AG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  <c r="AA480" s="52"/>
      <c r="AB480" s="52"/>
      <c r="AC480" s="52"/>
      <c r="AD480" s="52"/>
      <c r="AE480" s="52"/>
      <c r="AF480" s="52"/>
      <c r="AG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  <c r="AA481" s="52"/>
      <c r="AB481" s="52"/>
      <c r="AC481" s="52"/>
      <c r="AD481" s="52"/>
      <c r="AE481" s="52"/>
      <c r="AF481" s="52"/>
      <c r="AG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  <c r="AA482" s="52"/>
      <c r="AB482" s="52"/>
      <c r="AC482" s="52"/>
      <c r="AD482" s="52"/>
      <c r="AE482" s="52"/>
      <c r="AF482" s="52"/>
      <c r="AG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  <c r="AA483" s="52"/>
      <c r="AB483" s="52"/>
      <c r="AC483" s="52"/>
      <c r="AD483" s="52"/>
      <c r="AE483" s="52"/>
      <c r="AF483" s="52"/>
      <c r="AG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  <c r="AA523" s="52"/>
      <c r="AB523" s="52"/>
      <c r="AC523" s="52"/>
      <c r="AD523" s="52"/>
      <c r="AE523" s="52"/>
      <c r="AF523" s="52"/>
      <c r="AG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  <c r="AA524" s="52"/>
      <c r="AB524" s="52"/>
      <c r="AC524" s="52"/>
      <c r="AD524" s="52"/>
      <c r="AE524" s="52"/>
      <c r="AF524" s="52"/>
      <c r="AG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  <c r="AA525" s="52"/>
      <c r="AB525" s="52"/>
      <c r="AC525" s="52"/>
      <c r="AD525" s="52"/>
      <c r="AE525" s="52"/>
      <c r="AF525" s="52"/>
      <c r="AG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  <c r="AA527" s="52"/>
      <c r="AB527" s="52"/>
      <c r="AC527" s="52"/>
      <c r="AD527" s="52"/>
      <c r="AE527" s="52"/>
      <c r="AF527" s="52"/>
      <c r="AG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  <c r="AA530" s="52"/>
      <c r="AB530" s="52"/>
      <c r="AC530" s="52"/>
      <c r="AD530" s="52"/>
      <c r="AE530" s="52"/>
      <c r="AF530" s="52"/>
      <c r="AG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  <c r="AA594" s="52"/>
      <c r="AB594" s="52"/>
      <c r="AC594" s="52"/>
      <c r="AD594" s="52"/>
      <c r="AE594" s="52"/>
      <c r="AF594" s="52"/>
      <c r="AG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  <c r="AA595" s="52"/>
      <c r="AB595" s="52"/>
      <c r="AC595" s="52"/>
      <c r="AD595" s="52"/>
      <c r="AE595" s="52"/>
      <c r="AF595" s="52"/>
      <c r="AG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  <c r="AA596" s="52"/>
      <c r="AB596" s="52"/>
      <c r="AC596" s="52"/>
      <c r="AD596" s="52"/>
      <c r="AE596" s="52"/>
      <c r="AF596" s="52"/>
      <c r="AG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  <c r="AA597" s="52"/>
      <c r="AB597" s="52"/>
      <c r="AC597" s="52"/>
      <c r="AD597" s="52"/>
      <c r="AE597" s="52"/>
      <c r="AF597" s="52"/>
      <c r="AG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  <c r="AA598" s="52"/>
      <c r="AB598" s="52"/>
      <c r="AC598" s="52"/>
      <c r="AD598" s="52"/>
      <c r="AE598" s="52"/>
      <c r="AF598" s="52"/>
      <c r="AG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  <c r="AA599" s="52"/>
      <c r="AB599" s="52"/>
      <c r="AC599" s="52"/>
      <c r="AD599" s="52"/>
      <c r="AE599" s="52"/>
      <c r="AF599" s="52"/>
      <c r="AG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  <c r="AA600" s="52"/>
      <c r="AB600" s="52"/>
      <c r="AC600" s="52"/>
      <c r="AD600" s="52"/>
      <c r="AE600" s="52"/>
      <c r="AF600" s="52"/>
      <c r="AG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  <c r="AA601" s="52"/>
      <c r="AB601" s="52"/>
      <c r="AC601" s="52"/>
      <c r="AD601" s="52"/>
      <c r="AE601" s="52"/>
      <c r="AF601" s="52"/>
      <c r="AG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  <c r="AA602" s="52"/>
      <c r="AB602" s="52"/>
      <c r="AC602" s="52"/>
      <c r="AD602" s="52"/>
      <c r="AE602" s="52"/>
      <c r="AF602" s="52"/>
      <c r="AG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  <c r="AA603" s="52"/>
      <c r="AB603" s="52"/>
      <c r="AC603" s="52"/>
      <c r="AD603" s="52"/>
      <c r="AE603" s="52"/>
      <c r="AF603" s="52"/>
      <c r="AG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  <c r="AA604" s="52"/>
      <c r="AB604" s="52"/>
      <c r="AC604" s="52"/>
      <c r="AD604" s="52"/>
      <c r="AE604" s="52"/>
      <c r="AF604" s="52"/>
      <c r="AG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  <c r="AA611" s="52"/>
      <c r="AB611" s="52"/>
      <c r="AC611" s="52"/>
      <c r="AD611" s="52"/>
      <c r="AE611" s="52"/>
      <c r="AF611" s="52"/>
      <c r="AG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  <c r="AA612" s="52"/>
      <c r="AB612" s="52"/>
      <c r="AC612" s="52"/>
      <c r="AD612" s="52"/>
      <c r="AE612" s="52"/>
      <c r="AF612" s="52"/>
      <c r="AG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  <c r="AA613" s="52"/>
      <c r="AB613" s="52"/>
      <c r="AC613" s="52"/>
      <c r="AD613" s="52"/>
      <c r="AE613" s="52"/>
      <c r="AF613" s="52"/>
      <c r="AG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  <c r="AA614" s="52"/>
      <c r="AB614" s="52"/>
      <c r="AC614" s="52"/>
      <c r="AD614" s="52"/>
      <c r="AE614" s="52"/>
      <c r="AF614" s="52"/>
      <c r="AG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  <c r="AA615" s="52"/>
      <c r="AB615" s="52"/>
      <c r="AC615" s="52"/>
      <c r="AD615" s="52"/>
      <c r="AE615" s="52"/>
      <c r="AF615" s="52"/>
      <c r="AG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  <c r="AA616" s="52"/>
      <c r="AB616" s="52"/>
      <c r="AC616" s="52"/>
      <c r="AD616" s="52"/>
      <c r="AE616" s="52"/>
      <c r="AF616" s="52"/>
      <c r="AG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  <c r="AA621" s="52"/>
      <c r="AB621" s="52"/>
      <c r="AC621" s="52"/>
      <c r="AD621" s="52"/>
      <c r="AE621" s="52"/>
      <c r="AF621" s="52"/>
      <c r="AG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  <c r="AA622" s="52"/>
      <c r="AB622" s="52"/>
      <c r="AC622" s="52"/>
      <c r="AD622" s="52"/>
      <c r="AE622" s="52"/>
      <c r="AF622" s="52"/>
      <c r="AG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  <c r="AA623" s="52"/>
      <c r="AB623" s="52"/>
      <c r="AC623" s="52"/>
      <c r="AD623" s="52"/>
      <c r="AE623" s="52"/>
      <c r="AF623" s="52"/>
      <c r="AG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  <c r="AA624" s="52"/>
      <c r="AB624" s="52"/>
      <c r="AC624" s="52"/>
      <c r="AD624" s="52"/>
      <c r="AE624" s="52"/>
      <c r="AF624" s="52"/>
      <c r="AG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  <c r="AA625" s="52"/>
      <c r="AB625" s="52"/>
      <c r="AC625" s="52"/>
      <c r="AD625" s="52"/>
      <c r="AE625" s="52"/>
      <c r="AF625" s="52"/>
      <c r="AG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  <c r="AA626" s="52"/>
      <c r="AB626" s="52"/>
      <c r="AC626" s="52"/>
      <c r="AD626" s="52"/>
      <c r="AE626" s="52"/>
      <c r="AF626" s="52"/>
      <c r="AG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  <c r="AA627" s="52"/>
      <c r="AB627" s="52"/>
      <c r="AC627" s="52"/>
      <c r="AD627" s="52"/>
      <c r="AE627" s="52"/>
      <c r="AF627" s="52"/>
      <c r="AG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  <c r="AA628" s="52"/>
      <c r="AB628" s="52"/>
      <c r="AC628" s="52"/>
      <c r="AD628" s="52"/>
      <c r="AE628" s="52"/>
      <c r="AF628" s="52"/>
      <c r="AG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  <c r="AA629" s="52"/>
      <c r="AB629" s="52"/>
      <c r="AC629" s="52"/>
      <c r="AD629" s="52"/>
      <c r="AE629" s="52"/>
      <c r="AF629" s="52"/>
      <c r="AG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  <c r="AA630" s="52"/>
      <c r="AB630" s="52"/>
      <c r="AC630" s="52"/>
      <c r="AD630" s="52"/>
      <c r="AE630" s="52"/>
      <c r="AF630" s="52"/>
      <c r="AG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  <c r="AA634" s="52"/>
      <c r="AB634" s="52"/>
      <c r="AC634" s="52"/>
      <c r="AD634" s="52"/>
      <c r="AE634" s="52"/>
      <c r="AF634" s="52"/>
      <c r="AG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  <c r="AA635" s="52"/>
      <c r="AB635" s="52"/>
      <c r="AC635" s="52"/>
      <c r="AD635" s="52"/>
      <c r="AE635" s="52"/>
      <c r="AF635" s="52"/>
      <c r="AG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  <c r="AA636" s="52"/>
      <c r="AB636" s="52"/>
      <c r="AC636" s="52"/>
      <c r="AD636" s="52"/>
      <c r="AE636" s="52"/>
      <c r="AF636" s="52"/>
      <c r="AG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  <c r="AA637" s="52"/>
      <c r="AB637" s="52"/>
      <c r="AC637" s="52"/>
      <c r="AD637" s="52"/>
      <c r="AE637" s="52"/>
      <c r="AF637" s="52"/>
      <c r="AG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  <c r="AA638" s="52"/>
      <c r="AB638" s="52"/>
      <c r="AC638" s="52"/>
      <c r="AD638" s="52"/>
      <c r="AE638" s="52"/>
      <c r="AF638" s="52"/>
      <c r="AG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  <c r="AA639" s="52"/>
      <c r="AB639" s="52"/>
      <c r="AC639" s="52"/>
      <c r="AD639" s="52"/>
      <c r="AE639" s="52"/>
      <c r="AF639" s="52"/>
      <c r="AG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  <c r="AA640" s="52"/>
      <c r="AB640" s="52"/>
      <c r="AC640" s="52"/>
      <c r="AD640" s="52"/>
      <c r="AE640" s="52"/>
      <c r="AF640" s="52"/>
      <c r="AG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  <c r="AA641" s="52"/>
      <c r="AB641" s="52"/>
      <c r="AC641" s="52"/>
      <c r="AD641" s="52"/>
      <c r="AE641" s="52"/>
      <c r="AF641" s="52"/>
      <c r="AG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  <c r="AA642" s="52"/>
      <c r="AB642" s="52"/>
      <c r="AC642" s="52"/>
      <c r="AD642" s="52"/>
      <c r="AE642" s="52"/>
      <c r="AF642" s="52"/>
      <c r="AG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  <c r="AA644" s="52"/>
      <c r="AB644" s="52"/>
      <c r="AC644" s="52"/>
      <c r="AD644" s="52"/>
      <c r="AE644" s="52"/>
      <c r="AF644" s="52"/>
      <c r="AG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  <c r="AA645" s="52"/>
      <c r="AB645" s="52"/>
      <c r="AC645" s="52"/>
      <c r="AD645" s="52"/>
      <c r="AE645" s="52"/>
      <c r="AF645" s="52"/>
      <c r="AG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  <c r="AA646" s="52"/>
      <c r="AB646" s="52"/>
      <c r="AC646" s="52"/>
      <c r="AD646" s="52"/>
      <c r="AE646" s="52"/>
      <c r="AF646" s="52"/>
      <c r="AG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  <c r="AA647" s="52"/>
      <c r="AB647" s="52"/>
      <c r="AC647" s="52"/>
      <c r="AD647" s="52"/>
      <c r="AE647" s="52"/>
      <c r="AF647" s="52"/>
      <c r="AG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  <c r="AA648" s="52"/>
      <c r="AB648" s="52"/>
      <c r="AC648" s="52"/>
      <c r="AD648" s="52"/>
      <c r="AE648" s="52"/>
      <c r="AF648" s="52"/>
      <c r="AG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  <c r="AA649" s="52"/>
      <c r="AB649" s="52"/>
      <c r="AC649" s="52"/>
      <c r="AD649" s="52"/>
      <c r="AE649" s="52"/>
      <c r="AF649" s="52"/>
      <c r="AG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  <c r="AA650" s="52"/>
      <c r="AB650" s="52"/>
      <c r="AC650" s="52"/>
      <c r="AD650" s="52"/>
      <c r="AE650" s="52"/>
      <c r="AF650" s="52"/>
      <c r="AG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  <c r="AA651" s="52"/>
      <c r="AB651" s="52"/>
      <c r="AC651" s="52"/>
      <c r="AD651" s="52"/>
      <c r="AE651" s="52"/>
      <c r="AF651" s="52"/>
      <c r="AG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  <c r="AA652" s="52"/>
      <c r="AB652" s="52"/>
      <c r="AC652" s="52"/>
      <c r="AD652" s="52"/>
      <c r="AE652" s="52"/>
      <c r="AF652" s="52"/>
      <c r="AG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  <c r="AA653" s="52"/>
      <c r="AB653" s="52"/>
      <c r="AC653" s="52"/>
      <c r="AD653" s="52"/>
      <c r="AE653" s="52"/>
      <c r="AF653" s="52"/>
      <c r="AG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  <c r="AA654" s="52"/>
      <c r="AB654" s="52"/>
      <c r="AC654" s="52"/>
      <c r="AD654" s="52"/>
      <c r="AE654" s="52"/>
      <c r="AF654" s="52"/>
      <c r="AG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  <c r="AA655" s="52"/>
      <c r="AB655" s="52"/>
      <c r="AC655" s="52"/>
      <c r="AD655" s="52"/>
      <c r="AE655" s="52"/>
      <c r="AF655" s="52"/>
      <c r="AG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  <c r="AA656" s="52"/>
      <c r="AB656" s="52"/>
      <c r="AC656" s="52"/>
      <c r="AD656" s="52"/>
      <c r="AE656" s="52"/>
      <c r="AF656" s="52"/>
      <c r="AG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  <c r="AA657" s="52"/>
      <c r="AB657" s="52"/>
      <c r="AC657" s="52"/>
      <c r="AD657" s="52"/>
      <c r="AE657" s="52"/>
      <c r="AF657" s="52"/>
      <c r="AG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  <c r="AA658" s="52"/>
      <c r="AB658" s="52"/>
      <c r="AC658" s="52"/>
      <c r="AD658" s="52"/>
      <c r="AE658" s="52"/>
      <c r="AF658" s="52"/>
      <c r="AG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  <c r="AA659" s="52"/>
      <c r="AB659" s="52"/>
      <c r="AC659" s="52"/>
      <c r="AD659" s="52"/>
      <c r="AE659" s="52"/>
      <c r="AF659" s="52"/>
      <c r="AG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  <c r="AA660" s="52"/>
      <c r="AB660" s="52"/>
      <c r="AC660" s="52"/>
      <c r="AD660" s="52"/>
      <c r="AE660" s="52"/>
      <c r="AF660" s="52"/>
      <c r="AG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  <c r="AA661" s="52"/>
      <c r="AB661" s="52"/>
      <c r="AC661" s="52"/>
      <c r="AD661" s="52"/>
      <c r="AE661" s="52"/>
      <c r="AF661" s="52"/>
      <c r="AG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  <c r="AA662" s="52"/>
      <c r="AB662" s="52"/>
      <c r="AC662" s="52"/>
      <c r="AD662" s="52"/>
      <c r="AE662" s="52"/>
      <c r="AF662" s="52"/>
      <c r="AG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  <c r="AA663" s="52"/>
      <c r="AB663" s="52"/>
      <c r="AC663" s="52"/>
      <c r="AD663" s="52"/>
      <c r="AE663" s="52"/>
      <c r="AF663" s="52"/>
      <c r="AG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  <c r="AA664" s="52"/>
      <c r="AB664" s="52"/>
      <c r="AC664" s="52"/>
      <c r="AD664" s="52"/>
      <c r="AE664" s="52"/>
      <c r="AF664" s="52"/>
      <c r="AG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  <c r="AA665" s="52"/>
      <c r="AB665" s="52"/>
      <c r="AC665" s="52"/>
      <c r="AD665" s="52"/>
      <c r="AE665" s="52"/>
      <c r="AF665" s="52"/>
      <c r="AG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  <c r="AA666" s="52"/>
      <c r="AB666" s="52"/>
      <c r="AC666" s="52"/>
      <c r="AD666" s="52"/>
      <c r="AE666" s="52"/>
      <c r="AF666" s="52"/>
      <c r="AG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  <c r="AA667" s="52"/>
      <c r="AB667" s="52"/>
      <c r="AC667" s="52"/>
      <c r="AD667" s="52"/>
      <c r="AE667" s="52"/>
      <c r="AF667" s="52"/>
      <c r="AG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  <c r="AA668" s="52"/>
      <c r="AB668" s="52"/>
      <c r="AC668" s="52"/>
      <c r="AD668" s="52"/>
      <c r="AE668" s="52"/>
      <c r="AF668" s="52"/>
      <c r="AG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  <c r="AA669" s="52"/>
      <c r="AB669" s="52"/>
      <c r="AC669" s="52"/>
      <c r="AD669" s="52"/>
      <c r="AE669" s="52"/>
      <c r="AF669" s="52"/>
      <c r="AG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  <c r="AA670" s="52"/>
      <c r="AB670" s="52"/>
      <c r="AC670" s="52"/>
      <c r="AD670" s="52"/>
      <c r="AE670" s="52"/>
      <c r="AF670" s="52"/>
      <c r="AG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  <c r="AA671" s="52"/>
      <c r="AB671" s="52"/>
      <c r="AC671" s="52"/>
      <c r="AD671" s="52"/>
      <c r="AE671" s="52"/>
      <c r="AF671" s="52"/>
      <c r="AG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  <c r="AA672" s="52"/>
      <c r="AB672" s="52"/>
      <c r="AC672" s="52"/>
      <c r="AD672" s="52"/>
      <c r="AE672" s="52"/>
      <c r="AF672" s="52"/>
      <c r="AG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  <c r="AA673" s="52"/>
      <c r="AB673" s="52"/>
      <c r="AC673" s="52"/>
      <c r="AD673" s="52"/>
      <c r="AE673" s="52"/>
      <c r="AF673" s="52"/>
      <c r="AG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  <c r="AA674" s="52"/>
      <c r="AB674" s="52"/>
      <c r="AC674" s="52"/>
      <c r="AD674" s="52"/>
      <c r="AE674" s="52"/>
      <c r="AF674" s="52"/>
      <c r="AG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  <c r="AA675" s="52"/>
      <c r="AB675" s="52"/>
      <c r="AC675" s="52"/>
      <c r="AD675" s="52"/>
      <c r="AE675" s="52"/>
      <c r="AF675" s="52"/>
      <c r="AG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  <c r="AA676" s="52"/>
      <c r="AB676" s="52"/>
      <c r="AC676" s="52"/>
      <c r="AD676" s="52"/>
      <c r="AE676" s="52"/>
      <c r="AF676" s="52"/>
      <c r="AG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  <c r="AA677" s="52"/>
      <c r="AB677" s="52"/>
      <c r="AC677" s="52"/>
      <c r="AD677" s="52"/>
      <c r="AE677" s="52"/>
      <c r="AF677" s="52"/>
      <c r="AG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  <c r="AA678" s="52"/>
      <c r="AB678" s="52"/>
      <c r="AC678" s="52"/>
      <c r="AD678" s="52"/>
      <c r="AE678" s="52"/>
      <c r="AF678" s="52"/>
      <c r="AG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  <c r="AA679" s="52"/>
      <c r="AB679" s="52"/>
      <c r="AC679" s="52"/>
      <c r="AD679" s="52"/>
      <c r="AE679" s="52"/>
      <c r="AF679" s="52"/>
      <c r="AG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  <c r="AA680" s="52"/>
      <c r="AB680" s="52"/>
      <c r="AC680" s="52"/>
      <c r="AD680" s="52"/>
      <c r="AE680" s="52"/>
      <c r="AF680" s="52"/>
      <c r="AG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  <c r="AA681" s="52"/>
      <c r="AB681" s="52"/>
      <c r="AC681" s="52"/>
      <c r="AD681" s="52"/>
      <c r="AE681" s="52"/>
      <c r="AF681" s="52"/>
      <c r="AG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  <c r="AA682" s="52"/>
      <c r="AB682" s="52"/>
      <c r="AC682" s="52"/>
      <c r="AD682" s="52"/>
      <c r="AE682" s="52"/>
      <c r="AF682" s="52"/>
      <c r="AG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  <c r="AA683" s="52"/>
      <c r="AB683" s="52"/>
      <c r="AC683" s="52"/>
      <c r="AD683" s="52"/>
      <c r="AE683" s="52"/>
      <c r="AF683" s="52"/>
      <c r="AG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  <c r="AA684" s="52"/>
      <c r="AB684" s="52"/>
      <c r="AC684" s="52"/>
      <c r="AD684" s="52"/>
      <c r="AE684" s="52"/>
      <c r="AF684" s="52"/>
      <c r="AG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  <c r="AA685" s="52"/>
      <c r="AB685" s="52"/>
      <c r="AC685" s="52"/>
      <c r="AD685" s="52"/>
      <c r="AE685" s="52"/>
      <c r="AF685" s="52"/>
      <c r="AG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  <c r="AA686" s="52"/>
      <c r="AB686" s="52"/>
      <c r="AC686" s="52"/>
      <c r="AD686" s="52"/>
      <c r="AE686" s="52"/>
      <c r="AF686" s="52"/>
      <c r="AG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  <c r="AA687" s="52"/>
      <c r="AB687" s="52"/>
      <c r="AC687" s="52"/>
      <c r="AD687" s="52"/>
      <c r="AE687" s="52"/>
      <c r="AF687" s="52"/>
      <c r="AG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  <c r="AA688" s="52"/>
      <c r="AB688" s="52"/>
      <c r="AC688" s="52"/>
      <c r="AD688" s="52"/>
      <c r="AE688" s="52"/>
      <c r="AF688" s="52"/>
      <c r="AG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  <c r="AA690" s="52"/>
      <c r="AB690" s="52"/>
      <c r="AC690" s="52"/>
      <c r="AD690" s="52"/>
      <c r="AE690" s="52"/>
      <c r="AF690" s="52"/>
      <c r="AG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  <c r="AA691" s="52"/>
      <c r="AB691" s="52"/>
      <c r="AC691" s="52"/>
      <c r="AD691" s="52"/>
      <c r="AE691" s="52"/>
      <c r="AF691" s="52"/>
      <c r="AG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  <c r="AA692" s="52"/>
      <c r="AB692" s="52"/>
      <c r="AC692" s="52"/>
      <c r="AD692" s="52"/>
      <c r="AE692" s="52"/>
      <c r="AF692" s="52"/>
      <c r="AG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  <c r="AA693" s="52"/>
      <c r="AB693" s="52"/>
      <c r="AC693" s="52"/>
      <c r="AD693" s="52"/>
      <c r="AE693" s="52"/>
      <c r="AF693" s="52"/>
      <c r="AG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  <c r="AA694" s="52"/>
      <c r="AB694" s="52"/>
      <c r="AC694" s="52"/>
      <c r="AD694" s="52"/>
      <c r="AE694" s="52"/>
      <c r="AF694" s="52"/>
      <c r="AG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  <c r="AA695" s="52"/>
      <c r="AB695" s="52"/>
      <c r="AC695" s="52"/>
      <c r="AD695" s="52"/>
      <c r="AE695" s="52"/>
      <c r="AF695" s="52"/>
      <c r="AG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  <c r="AA696" s="52"/>
      <c r="AB696" s="52"/>
      <c r="AC696" s="52"/>
      <c r="AD696" s="52"/>
      <c r="AE696" s="52"/>
      <c r="AF696" s="52"/>
      <c r="AG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  <c r="AA697" s="52"/>
      <c r="AB697" s="52"/>
      <c r="AC697" s="52"/>
      <c r="AD697" s="52"/>
      <c r="AE697" s="52"/>
      <c r="AF697" s="52"/>
      <c r="AG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  <c r="AA698" s="52"/>
      <c r="AB698" s="52"/>
      <c r="AC698" s="52"/>
      <c r="AD698" s="52"/>
      <c r="AE698" s="52"/>
      <c r="AF698" s="52"/>
      <c r="AG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  <c r="AA699" s="52"/>
      <c r="AB699" s="52"/>
      <c r="AC699" s="52"/>
      <c r="AD699" s="52"/>
      <c r="AE699" s="52"/>
      <c r="AF699" s="52"/>
      <c r="AG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  <c r="AA700" s="52"/>
      <c r="AB700" s="52"/>
      <c r="AC700" s="52"/>
      <c r="AD700" s="52"/>
      <c r="AE700" s="52"/>
      <c r="AF700" s="52"/>
      <c r="AG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  <c r="AA701" s="52"/>
      <c r="AB701" s="52"/>
      <c r="AC701" s="52"/>
      <c r="AD701" s="52"/>
      <c r="AE701" s="52"/>
      <c r="AF701" s="52"/>
      <c r="AG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  <c r="AA702" s="52"/>
      <c r="AB702" s="52"/>
      <c r="AC702" s="52"/>
      <c r="AD702" s="52"/>
      <c r="AE702" s="52"/>
      <c r="AF702" s="52"/>
      <c r="AG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  <c r="AA703" s="52"/>
      <c r="AB703" s="52"/>
      <c r="AC703" s="52"/>
      <c r="AD703" s="52"/>
      <c r="AE703" s="52"/>
      <c r="AF703" s="52"/>
      <c r="AG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  <c r="AA704" s="52"/>
      <c r="AB704" s="52"/>
      <c r="AC704" s="52"/>
      <c r="AD704" s="52"/>
      <c r="AE704" s="52"/>
      <c r="AF704" s="52"/>
      <c r="AG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  <c r="AA705" s="52"/>
      <c r="AB705" s="52"/>
      <c r="AC705" s="52"/>
      <c r="AD705" s="52"/>
      <c r="AE705" s="52"/>
      <c r="AF705" s="52"/>
      <c r="AG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  <c r="AA706" s="52"/>
      <c r="AB706" s="52"/>
      <c r="AC706" s="52"/>
      <c r="AD706" s="52"/>
      <c r="AE706" s="52"/>
      <c r="AF706" s="52"/>
      <c r="AG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  <c r="AA707" s="52"/>
      <c r="AB707" s="52"/>
      <c r="AC707" s="52"/>
      <c r="AD707" s="52"/>
      <c r="AE707" s="52"/>
      <c r="AF707" s="52"/>
      <c r="AG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  <c r="AA708" s="52"/>
      <c r="AB708" s="52"/>
      <c r="AC708" s="52"/>
      <c r="AD708" s="52"/>
      <c r="AE708" s="52"/>
      <c r="AF708" s="52"/>
      <c r="AG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  <c r="AA709" s="52"/>
      <c r="AB709" s="52"/>
      <c r="AC709" s="52"/>
      <c r="AD709" s="52"/>
      <c r="AE709" s="52"/>
      <c r="AF709" s="52"/>
      <c r="AG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  <c r="AA710" s="52"/>
      <c r="AB710" s="52"/>
      <c r="AC710" s="52"/>
      <c r="AD710" s="52"/>
      <c r="AE710" s="52"/>
      <c r="AF710" s="52"/>
      <c r="AG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  <c r="AA711" s="52"/>
      <c r="AB711" s="52"/>
      <c r="AC711" s="52"/>
      <c r="AD711" s="52"/>
      <c r="AE711" s="52"/>
      <c r="AF711" s="52"/>
      <c r="AG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  <c r="AA712" s="52"/>
      <c r="AB712" s="52"/>
      <c r="AC712" s="52"/>
      <c r="AD712" s="52"/>
      <c r="AE712" s="52"/>
      <c r="AF712" s="52"/>
      <c r="AG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  <c r="AA713" s="52"/>
      <c r="AB713" s="52"/>
      <c r="AC713" s="52"/>
      <c r="AD713" s="52"/>
      <c r="AE713" s="52"/>
      <c r="AF713" s="52"/>
      <c r="AG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  <c r="AA714" s="52"/>
      <c r="AB714" s="52"/>
      <c r="AC714" s="52"/>
      <c r="AD714" s="52"/>
      <c r="AE714" s="52"/>
      <c r="AF714" s="52"/>
      <c r="AG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  <c r="AA715" s="52"/>
      <c r="AB715" s="52"/>
      <c r="AC715" s="52"/>
      <c r="AD715" s="52"/>
      <c r="AE715" s="52"/>
      <c r="AF715" s="52"/>
      <c r="AG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  <c r="AA716" s="52"/>
      <c r="AB716" s="52"/>
      <c r="AC716" s="52"/>
      <c r="AD716" s="52"/>
      <c r="AE716" s="52"/>
      <c r="AF716" s="52"/>
      <c r="AG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  <c r="AA717" s="52"/>
      <c r="AB717" s="52"/>
      <c r="AC717" s="52"/>
      <c r="AD717" s="52"/>
      <c r="AE717" s="52"/>
      <c r="AF717" s="52"/>
      <c r="AG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  <c r="AA718" s="52"/>
      <c r="AB718" s="52"/>
      <c r="AC718" s="52"/>
      <c r="AD718" s="52"/>
      <c r="AE718" s="52"/>
      <c r="AF718" s="52"/>
      <c r="AG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  <c r="AA719" s="52"/>
      <c r="AB719" s="52"/>
      <c r="AC719" s="52"/>
      <c r="AD719" s="52"/>
      <c r="AE719" s="52"/>
      <c r="AF719" s="52"/>
      <c r="AG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  <c r="AA720" s="52"/>
      <c r="AB720" s="52"/>
      <c r="AC720" s="52"/>
      <c r="AD720" s="52"/>
      <c r="AE720" s="52"/>
      <c r="AF720" s="52"/>
      <c r="AG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  <c r="AA721" s="52"/>
      <c r="AB721" s="52"/>
      <c r="AC721" s="52"/>
      <c r="AD721" s="52"/>
      <c r="AE721" s="52"/>
      <c r="AF721" s="52"/>
      <c r="AG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  <c r="AA722" s="52"/>
      <c r="AB722" s="52"/>
      <c r="AC722" s="52"/>
      <c r="AD722" s="52"/>
      <c r="AE722" s="52"/>
      <c r="AF722" s="52"/>
      <c r="AG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  <c r="AA723" s="52"/>
      <c r="AB723" s="52"/>
      <c r="AC723" s="52"/>
      <c r="AD723" s="52"/>
      <c r="AE723" s="52"/>
      <c r="AF723" s="52"/>
      <c r="AG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  <c r="AA724" s="52"/>
      <c r="AB724" s="52"/>
      <c r="AC724" s="52"/>
      <c r="AD724" s="52"/>
      <c r="AE724" s="52"/>
      <c r="AF724" s="52"/>
      <c r="AG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  <c r="AA725" s="52"/>
      <c r="AB725" s="52"/>
      <c r="AC725" s="52"/>
      <c r="AD725" s="52"/>
      <c r="AE725" s="52"/>
      <c r="AF725" s="52"/>
      <c r="AG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  <c r="AA726" s="52"/>
      <c r="AB726" s="52"/>
      <c r="AC726" s="52"/>
      <c r="AD726" s="52"/>
      <c r="AE726" s="52"/>
      <c r="AF726" s="52"/>
      <c r="AG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  <c r="AA727" s="52"/>
      <c r="AB727" s="52"/>
      <c r="AC727" s="52"/>
      <c r="AD727" s="52"/>
      <c r="AE727" s="52"/>
      <c r="AF727" s="52"/>
      <c r="AG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  <c r="AA728" s="52"/>
      <c r="AB728" s="52"/>
      <c r="AC728" s="52"/>
      <c r="AD728" s="52"/>
      <c r="AE728" s="52"/>
      <c r="AF728" s="52"/>
      <c r="AG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  <c r="AA729" s="52"/>
      <c r="AB729" s="52"/>
      <c r="AC729" s="52"/>
      <c r="AD729" s="52"/>
      <c r="AE729" s="52"/>
      <c r="AF729" s="52"/>
      <c r="AG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  <c r="AA730" s="52"/>
      <c r="AB730" s="52"/>
      <c r="AC730" s="52"/>
      <c r="AD730" s="52"/>
      <c r="AE730" s="52"/>
      <c r="AF730" s="52"/>
      <c r="AG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  <c r="AA731" s="52"/>
      <c r="AB731" s="52"/>
      <c r="AC731" s="52"/>
      <c r="AD731" s="52"/>
      <c r="AE731" s="52"/>
      <c r="AF731" s="52"/>
      <c r="AG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  <c r="AA732" s="52"/>
      <c r="AB732" s="52"/>
      <c r="AC732" s="52"/>
      <c r="AD732" s="52"/>
      <c r="AE732" s="52"/>
      <c r="AF732" s="52"/>
      <c r="AG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  <c r="AA733" s="52"/>
      <c r="AB733" s="52"/>
      <c r="AC733" s="52"/>
      <c r="AD733" s="52"/>
      <c r="AE733" s="52"/>
      <c r="AF733" s="52"/>
      <c r="AG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  <c r="AA734" s="52"/>
      <c r="AB734" s="52"/>
      <c r="AC734" s="52"/>
      <c r="AD734" s="52"/>
      <c r="AE734" s="52"/>
      <c r="AF734" s="52"/>
      <c r="AG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  <c r="AA735" s="52"/>
      <c r="AB735" s="52"/>
      <c r="AC735" s="52"/>
      <c r="AD735" s="52"/>
      <c r="AE735" s="52"/>
      <c r="AF735" s="52"/>
      <c r="AG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  <c r="AA736" s="52"/>
      <c r="AB736" s="52"/>
      <c r="AC736" s="52"/>
      <c r="AD736" s="52"/>
      <c r="AE736" s="52"/>
      <c r="AF736" s="52"/>
      <c r="AG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  <c r="AA737" s="52"/>
      <c r="AB737" s="52"/>
      <c r="AC737" s="52"/>
      <c r="AD737" s="52"/>
      <c r="AE737" s="52"/>
      <c r="AF737" s="52"/>
      <c r="AG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  <c r="AA738" s="52"/>
      <c r="AB738" s="52"/>
      <c r="AC738" s="52"/>
      <c r="AD738" s="52"/>
      <c r="AE738" s="52"/>
      <c r="AF738" s="52"/>
      <c r="AG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  <c r="AA739" s="52"/>
      <c r="AB739" s="52"/>
      <c r="AC739" s="52"/>
      <c r="AD739" s="52"/>
      <c r="AE739" s="52"/>
      <c r="AF739" s="52"/>
      <c r="AG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  <c r="AA740" s="52"/>
      <c r="AB740" s="52"/>
      <c r="AC740" s="52"/>
      <c r="AD740" s="52"/>
      <c r="AE740" s="52"/>
      <c r="AF740" s="52"/>
      <c r="AG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  <c r="AA741" s="52"/>
      <c r="AB741" s="52"/>
      <c r="AC741" s="52"/>
      <c r="AD741" s="52"/>
      <c r="AE741" s="52"/>
      <c r="AF741" s="52"/>
      <c r="AG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  <c r="AA742" s="52"/>
      <c r="AB742" s="52"/>
      <c r="AC742" s="52"/>
      <c r="AD742" s="52"/>
      <c r="AE742" s="52"/>
      <c r="AF742" s="52"/>
      <c r="AG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  <c r="AA743" s="52"/>
      <c r="AB743" s="52"/>
      <c r="AC743" s="52"/>
      <c r="AD743" s="52"/>
      <c r="AE743" s="52"/>
      <c r="AF743" s="52"/>
      <c r="AG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  <c r="AA744" s="52"/>
      <c r="AB744" s="52"/>
      <c r="AC744" s="52"/>
      <c r="AD744" s="52"/>
      <c r="AE744" s="52"/>
      <c r="AF744" s="52"/>
      <c r="AG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  <c r="AA745" s="52"/>
      <c r="AB745" s="52"/>
      <c r="AC745" s="52"/>
      <c r="AD745" s="52"/>
      <c r="AE745" s="52"/>
      <c r="AF745" s="52"/>
      <c r="AG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  <c r="AA746" s="52"/>
      <c r="AB746" s="52"/>
      <c r="AC746" s="52"/>
      <c r="AD746" s="52"/>
      <c r="AE746" s="52"/>
      <c r="AF746" s="52"/>
      <c r="AG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  <c r="AA747" s="52"/>
      <c r="AB747" s="52"/>
      <c r="AC747" s="52"/>
      <c r="AD747" s="52"/>
      <c r="AE747" s="52"/>
      <c r="AF747" s="52"/>
      <c r="AG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  <c r="AA748" s="52"/>
      <c r="AB748" s="52"/>
      <c r="AC748" s="52"/>
      <c r="AD748" s="52"/>
      <c r="AE748" s="52"/>
      <c r="AF748" s="52"/>
      <c r="AG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  <c r="AA749" s="52"/>
      <c r="AB749" s="52"/>
      <c r="AC749" s="52"/>
      <c r="AD749" s="52"/>
      <c r="AE749" s="52"/>
      <c r="AF749" s="52"/>
      <c r="AG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  <c r="AA750" s="52"/>
      <c r="AB750" s="52"/>
      <c r="AC750" s="52"/>
      <c r="AD750" s="52"/>
      <c r="AE750" s="52"/>
      <c r="AF750" s="52"/>
      <c r="AG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  <c r="AA751" s="52"/>
      <c r="AB751" s="52"/>
      <c r="AC751" s="52"/>
      <c r="AD751" s="52"/>
      <c r="AE751" s="52"/>
      <c r="AF751" s="52"/>
      <c r="AG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  <c r="AA752" s="52"/>
      <c r="AB752" s="52"/>
      <c r="AC752" s="52"/>
      <c r="AD752" s="52"/>
      <c r="AE752" s="52"/>
      <c r="AF752" s="52"/>
      <c r="AG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  <c r="AA753" s="52"/>
      <c r="AB753" s="52"/>
      <c r="AC753" s="52"/>
      <c r="AD753" s="52"/>
      <c r="AE753" s="52"/>
      <c r="AF753" s="52"/>
      <c r="AG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  <c r="AA754" s="52"/>
      <c r="AB754" s="52"/>
      <c r="AC754" s="52"/>
      <c r="AD754" s="52"/>
      <c r="AE754" s="52"/>
      <c r="AF754" s="52"/>
      <c r="AG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  <c r="AA755" s="52"/>
      <c r="AB755" s="52"/>
      <c r="AC755" s="52"/>
      <c r="AD755" s="52"/>
      <c r="AE755" s="52"/>
      <c r="AF755" s="52"/>
      <c r="AG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  <c r="AA756" s="52"/>
      <c r="AB756" s="52"/>
      <c r="AC756" s="52"/>
      <c r="AD756" s="52"/>
      <c r="AE756" s="52"/>
      <c r="AF756" s="52"/>
      <c r="AG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  <c r="AA757" s="52"/>
      <c r="AB757" s="52"/>
      <c r="AC757" s="52"/>
      <c r="AD757" s="52"/>
      <c r="AE757" s="52"/>
      <c r="AF757" s="52"/>
      <c r="AG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  <c r="AA758" s="52"/>
      <c r="AB758" s="52"/>
      <c r="AC758" s="52"/>
      <c r="AD758" s="52"/>
      <c r="AE758" s="52"/>
      <c r="AF758" s="52"/>
      <c r="AG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  <c r="AA759" s="52"/>
      <c r="AB759" s="52"/>
      <c r="AC759" s="52"/>
      <c r="AD759" s="52"/>
      <c r="AE759" s="52"/>
      <c r="AF759" s="52"/>
      <c r="AG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  <c r="AA760" s="52"/>
      <c r="AB760" s="52"/>
      <c r="AC760" s="52"/>
      <c r="AD760" s="52"/>
      <c r="AE760" s="52"/>
      <c r="AF760" s="52"/>
      <c r="AG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  <c r="AA761" s="52"/>
      <c r="AB761" s="52"/>
      <c r="AC761" s="52"/>
      <c r="AD761" s="52"/>
      <c r="AE761" s="52"/>
      <c r="AF761" s="52"/>
      <c r="AG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  <c r="AA762" s="52"/>
      <c r="AB762" s="52"/>
      <c r="AC762" s="52"/>
      <c r="AD762" s="52"/>
      <c r="AE762" s="52"/>
      <c r="AF762" s="52"/>
      <c r="AG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  <c r="AA763" s="52"/>
      <c r="AB763" s="52"/>
      <c r="AC763" s="52"/>
      <c r="AD763" s="52"/>
      <c r="AE763" s="52"/>
      <c r="AF763" s="52"/>
      <c r="AG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  <c r="AA764" s="52"/>
      <c r="AB764" s="52"/>
      <c r="AC764" s="52"/>
      <c r="AD764" s="52"/>
      <c r="AE764" s="52"/>
      <c r="AF764" s="52"/>
      <c r="AG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  <c r="AA765" s="52"/>
      <c r="AB765" s="52"/>
      <c r="AC765" s="52"/>
      <c r="AD765" s="52"/>
      <c r="AE765" s="52"/>
      <c r="AF765" s="52"/>
      <c r="AG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  <c r="AA766" s="52"/>
      <c r="AB766" s="52"/>
      <c r="AC766" s="52"/>
      <c r="AD766" s="52"/>
      <c r="AE766" s="52"/>
      <c r="AF766" s="52"/>
      <c r="AG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  <c r="AA767" s="52"/>
      <c r="AB767" s="52"/>
      <c r="AC767" s="52"/>
      <c r="AD767" s="52"/>
      <c r="AE767" s="52"/>
      <c r="AF767" s="52"/>
      <c r="AG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  <c r="AA768" s="52"/>
      <c r="AB768" s="52"/>
      <c r="AC768" s="52"/>
      <c r="AD768" s="52"/>
      <c r="AE768" s="52"/>
      <c r="AF768" s="52"/>
      <c r="AG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  <c r="AA769" s="52"/>
      <c r="AB769" s="52"/>
      <c r="AC769" s="52"/>
      <c r="AD769" s="52"/>
      <c r="AE769" s="52"/>
      <c r="AF769" s="52"/>
      <c r="AG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  <c r="AA770" s="52"/>
      <c r="AB770" s="52"/>
      <c r="AC770" s="52"/>
      <c r="AD770" s="52"/>
      <c r="AE770" s="52"/>
      <c r="AF770" s="52"/>
      <c r="AG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  <c r="AA771" s="52"/>
      <c r="AB771" s="52"/>
      <c r="AC771" s="52"/>
      <c r="AD771" s="52"/>
      <c r="AE771" s="52"/>
      <c r="AF771" s="52"/>
      <c r="AG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  <c r="AA772" s="52"/>
      <c r="AB772" s="52"/>
      <c r="AC772" s="52"/>
      <c r="AD772" s="52"/>
      <c r="AE772" s="52"/>
      <c r="AF772" s="52"/>
      <c r="AG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  <c r="AA773" s="52"/>
      <c r="AB773" s="52"/>
      <c r="AC773" s="52"/>
      <c r="AD773" s="52"/>
      <c r="AE773" s="52"/>
      <c r="AF773" s="52"/>
      <c r="AG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  <c r="AA774" s="52"/>
      <c r="AB774" s="52"/>
      <c r="AC774" s="52"/>
      <c r="AD774" s="52"/>
      <c r="AE774" s="52"/>
      <c r="AF774" s="52"/>
      <c r="AG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  <c r="AA775" s="52"/>
      <c r="AB775" s="52"/>
      <c r="AC775" s="52"/>
      <c r="AD775" s="52"/>
      <c r="AE775" s="52"/>
      <c r="AF775" s="52"/>
      <c r="AG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  <c r="AA776" s="52"/>
      <c r="AB776" s="52"/>
      <c r="AC776" s="52"/>
      <c r="AD776" s="52"/>
      <c r="AE776" s="52"/>
      <c r="AF776" s="52"/>
      <c r="AG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  <c r="AA777" s="52"/>
      <c r="AB777" s="52"/>
      <c r="AC777" s="52"/>
      <c r="AD777" s="52"/>
      <c r="AE777" s="52"/>
      <c r="AF777" s="52"/>
      <c r="AG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  <c r="AA778" s="52"/>
      <c r="AB778" s="52"/>
      <c r="AC778" s="52"/>
      <c r="AD778" s="52"/>
      <c r="AE778" s="52"/>
      <c r="AF778" s="52"/>
      <c r="AG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  <c r="AA779" s="52"/>
      <c r="AB779" s="52"/>
      <c r="AC779" s="52"/>
      <c r="AD779" s="52"/>
      <c r="AE779" s="52"/>
      <c r="AF779" s="52"/>
      <c r="AG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  <c r="AA780" s="52"/>
      <c r="AB780" s="52"/>
      <c r="AC780" s="52"/>
      <c r="AD780" s="52"/>
      <c r="AE780" s="52"/>
      <c r="AF780" s="52"/>
      <c r="AG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  <c r="AA781" s="52"/>
      <c r="AB781" s="52"/>
      <c r="AC781" s="52"/>
      <c r="AD781" s="52"/>
      <c r="AE781" s="52"/>
      <c r="AF781" s="52"/>
      <c r="AG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  <c r="AA782" s="52"/>
      <c r="AB782" s="52"/>
      <c r="AC782" s="52"/>
      <c r="AD782" s="52"/>
      <c r="AE782" s="52"/>
      <c r="AF782" s="52"/>
      <c r="AG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  <c r="AA783" s="52"/>
      <c r="AB783" s="52"/>
      <c r="AC783" s="52"/>
      <c r="AD783" s="52"/>
      <c r="AE783" s="52"/>
      <c r="AF783" s="52"/>
      <c r="AG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  <c r="AA784" s="52"/>
      <c r="AB784" s="52"/>
      <c r="AC784" s="52"/>
      <c r="AD784" s="52"/>
      <c r="AE784" s="52"/>
      <c r="AF784" s="52"/>
      <c r="AG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  <c r="AA785" s="52"/>
      <c r="AB785" s="52"/>
      <c r="AC785" s="52"/>
      <c r="AD785" s="52"/>
      <c r="AE785" s="52"/>
      <c r="AF785" s="52"/>
      <c r="AG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  <c r="AA786" s="52"/>
      <c r="AB786" s="52"/>
      <c r="AC786" s="52"/>
      <c r="AD786" s="52"/>
      <c r="AE786" s="52"/>
      <c r="AF786" s="52"/>
      <c r="AG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  <c r="AA787" s="52"/>
      <c r="AB787" s="52"/>
      <c r="AC787" s="52"/>
      <c r="AD787" s="52"/>
      <c r="AE787" s="52"/>
      <c r="AF787" s="52"/>
      <c r="AG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  <c r="AA788" s="52"/>
      <c r="AB788" s="52"/>
      <c r="AC788" s="52"/>
      <c r="AD788" s="52"/>
      <c r="AE788" s="52"/>
      <c r="AF788" s="52"/>
      <c r="AG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  <c r="AA789" s="52"/>
      <c r="AB789" s="52"/>
      <c r="AC789" s="52"/>
      <c r="AD789" s="52"/>
      <c r="AE789" s="52"/>
      <c r="AF789" s="52"/>
      <c r="AG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  <c r="AA790" s="52"/>
      <c r="AB790" s="52"/>
      <c r="AC790" s="52"/>
      <c r="AD790" s="52"/>
      <c r="AE790" s="52"/>
      <c r="AF790" s="52"/>
      <c r="AG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  <c r="AA791" s="52"/>
      <c r="AB791" s="52"/>
      <c r="AC791" s="52"/>
      <c r="AD791" s="52"/>
      <c r="AE791" s="52"/>
      <c r="AF791" s="52"/>
      <c r="AG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  <c r="AA792" s="52"/>
      <c r="AB792" s="52"/>
      <c r="AC792" s="52"/>
      <c r="AD792" s="52"/>
      <c r="AE792" s="52"/>
      <c r="AF792" s="52"/>
      <c r="AG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  <c r="AA793" s="52"/>
      <c r="AB793" s="52"/>
      <c r="AC793" s="52"/>
      <c r="AD793" s="52"/>
      <c r="AE793" s="52"/>
      <c r="AF793" s="52"/>
      <c r="AG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  <c r="AA794" s="52"/>
      <c r="AB794" s="52"/>
      <c r="AC794" s="52"/>
      <c r="AD794" s="52"/>
      <c r="AE794" s="52"/>
      <c r="AF794" s="52"/>
      <c r="AG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  <c r="AA795" s="52"/>
      <c r="AB795" s="52"/>
      <c r="AC795" s="52"/>
      <c r="AD795" s="52"/>
      <c r="AE795" s="52"/>
      <c r="AF795" s="52"/>
      <c r="AG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  <c r="AA796" s="52"/>
      <c r="AB796" s="52"/>
      <c r="AC796" s="52"/>
      <c r="AD796" s="52"/>
      <c r="AE796" s="52"/>
      <c r="AF796" s="52"/>
      <c r="AG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  <c r="AA797" s="52"/>
      <c r="AB797" s="52"/>
      <c r="AC797" s="52"/>
      <c r="AD797" s="52"/>
      <c r="AE797" s="52"/>
      <c r="AF797" s="52"/>
      <c r="AG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  <c r="AA798" s="52"/>
      <c r="AB798" s="52"/>
      <c r="AC798" s="52"/>
      <c r="AD798" s="52"/>
      <c r="AE798" s="52"/>
      <c r="AF798" s="52"/>
      <c r="AG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  <c r="AA799" s="52"/>
      <c r="AB799" s="52"/>
      <c r="AC799" s="52"/>
      <c r="AD799" s="52"/>
      <c r="AE799" s="52"/>
      <c r="AF799" s="52"/>
      <c r="AG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  <c r="AA800" s="52"/>
      <c r="AB800" s="52"/>
      <c r="AC800" s="52"/>
      <c r="AD800" s="52"/>
      <c r="AE800" s="52"/>
      <c r="AF800" s="52"/>
      <c r="AG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  <c r="AA801" s="52"/>
      <c r="AB801" s="52"/>
      <c r="AC801" s="52"/>
      <c r="AD801" s="52"/>
      <c r="AE801" s="52"/>
      <c r="AF801" s="52"/>
      <c r="AG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  <c r="AA802" s="52"/>
      <c r="AB802" s="52"/>
      <c r="AC802" s="52"/>
      <c r="AD802" s="52"/>
      <c r="AE802" s="52"/>
      <c r="AF802" s="52"/>
      <c r="AG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  <c r="AA803" s="52"/>
      <c r="AB803" s="52"/>
      <c r="AC803" s="52"/>
      <c r="AD803" s="52"/>
      <c r="AE803" s="52"/>
      <c r="AF803" s="52"/>
      <c r="AG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  <c r="AA804" s="52"/>
      <c r="AB804" s="52"/>
      <c r="AC804" s="52"/>
      <c r="AD804" s="52"/>
      <c r="AE804" s="52"/>
      <c r="AF804" s="52"/>
      <c r="AG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  <c r="AA805" s="52"/>
      <c r="AB805" s="52"/>
      <c r="AC805" s="52"/>
      <c r="AD805" s="52"/>
      <c r="AE805" s="52"/>
      <c r="AF805" s="52"/>
      <c r="AG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  <c r="AA806" s="52"/>
      <c r="AB806" s="52"/>
      <c r="AC806" s="52"/>
      <c r="AD806" s="52"/>
      <c r="AE806" s="52"/>
      <c r="AF806" s="52"/>
      <c r="AG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  <c r="AA807" s="52"/>
      <c r="AB807" s="52"/>
      <c r="AC807" s="52"/>
      <c r="AD807" s="52"/>
      <c r="AE807" s="52"/>
      <c r="AF807" s="52"/>
      <c r="AG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  <c r="AA808" s="52"/>
      <c r="AB808" s="52"/>
      <c r="AC808" s="52"/>
      <c r="AD808" s="52"/>
      <c r="AE808" s="52"/>
      <c r="AF808" s="52"/>
      <c r="AG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  <c r="AA809" s="52"/>
      <c r="AB809" s="52"/>
      <c r="AC809" s="52"/>
      <c r="AD809" s="52"/>
      <c r="AE809" s="52"/>
      <c r="AF809" s="52"/>
      <c r="AG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  <c r="AA810" s="52"/>
      <c r="AB810" s="52"/>
      <c r="AC810" s="52"/>
      <c r="AD810" s="52"/>
      <c r="AE810" s="52"/>
      <c r="AF810" s="52"/>
      <c r="AG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  <c r="AA811" s="52"/>
      <c r="AB811" s="52"/>
      <c r="AC811" s="52"/>
      <c r="AD811" s="52"/>
      <c r="AE811" s="52"/>
      <c r="AF811" s="52"/>
      <c r="AG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  <c r="AA812" s="52"/>
      <c r="AB812" s="52"/>
      <c r="AC812" s="52"/>
      <c r="AD812" s="52"/>
      <c r="AE812" s="52"/>
      <c r="AF812" s="52"/>
      <c r="AG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  <c r="AA813" s="52"/>
      <c r="AB813" s="52"/>
      <c r="AC813" s="52"/>
      <c r="AD813" s="52"/>
      <c r="AE813" s="52"/>
      <c r="AF813" s="52"/>
      <c r="AG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  <c r="AA814" s="52"/>
      <c r="AB814" s="52"/>
      <c r="AC814" s="52"/>
      <c r="AD814" s="52"/>
      <c r="AE814" s="52"/>
      <c r="AF814" s="52"/>
      <c r="AG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  <c r="AA815" s="52"/>
      <c r="AB815" s="52"/>
      <c r="AC815" s="52"/>
      <c r="AD815" s="52"/>
      <c r="AE815" s="52"/>
      <c r="AF815" s="52"/>
      <c r="AG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  <c r="AA816" s="52"/>
      <c r="AB816" s="52"/>
      <c r="AC816" s="52"/>
      <c r="AD816" s="52"/>
      <c r="AE816" s="52"/>
      <c r="AF816" s="52"/>
      <c r="AG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  <c r="AA817" s="52"/>
      <c r="AB817" s="52"/>
      <c r="AC817" s="52"/>
      <c r="AD817" s="52"/>
      <c r="AE817" s="52"/>
      <c r="AF817" s="52"/>
      <c r="AG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  <c r="AA818" s="52"/>
      <c r="AB818" s="52"/>
      <c r="AC818" s="52"/>
      <c r="AD818" s="52"/>
      <c r="AE818" s="52"/>
      <c r="AF818" s="52"/>
      <c r="AG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  <c r="AA819" s="52"/>
      <c r="AB819" s="52"/>
      <c r="AC819" s="52"/>
      <c r="AD819" s="52"/>
      <c r="AE819" s="52"/>
      <c r="AF819" s="52"/>
      <c r="AG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  <c r="AA820" s="52"/>
      <c r="AB820" s="52"/>
      <c r="AC820" s="52"/>
      <c r="AD820" s="52"/>
      <c r="AE820" s="52"/>
      <c r="AF820" s="52"/>
      <c r="AG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  <c r="AA821" s="52"/>
      <c r="AB821" s="52"/>
      <c r="AC821" s="52"/>
      <c r="AD821" s="52"/>
      <c r="AE821" s="52"/>
      <c r="AF821" s="52"/>
      <c r="AG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  <c r="AA822" s="52"/>
      <c r="AB822" s="52"/>
      <c r="AC822" s="52"/>
      <c r="AD822" s="52"/>
      <c r="AE822" s="52"/>
      <c r="AF822" s="52"/>
      <c r="AG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  <c r="AA823" s="52"/>
      <c r="AB823" s="52"/>
      <c r="AC823" s="52"/>
      <c r="AD823" s="52"/>
      <c r="AE823" s="52"/>
      <c r="AF823" s="52"/>
      <c r="AG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  <c r="AA824" s="52"/>
      <c r="AB824" s="52"/>
      <c r="AC824" s="52"/>
      <c r="AD824" s="52"/>
      <c r="AE824" s="52"/>
      <c r="AF824" s="52"/>
      <c r="AG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  <c r="AA825" s="52"/>
      <c r="AB825" s="52"/>
      <c r="AC825" s="52"/>
      <c r="AD825" s="52"/>
      <c r="AE825" s="52"/>
      <c r="AF825" s="52"/>
      <c r="AG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  <c r="AA826" s="52"/>
      <c r="AB826" s="52"/>
      <c r="AC826" s="52"/>
      <c r="AD826" s="52"/>
      <c r="AE826" s="52"/>
      <c r="AF826" s="52"/>
      <c r="AG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  <c r="AA827" s="52"/>
      <c r="AB827" s="52"/>
      <c r="AC827" s="52"/>
      <c r="AD827" s="52"/>
      <c r="AE827" s="52"/>
      <c r="AF827" s="52"/>
      <c r="AG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  <c r="AA828" s="52"/>
      <c r="AB828" s="52"/>
      <c r="AC828" s="52"/>
      <c r="AD828" s="52"/>
      <c r="AE828" s="52"/>
      <c r="AF828" s="52"/>
      <c r="AG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  <c r="AA829" s="52"/>
      <c r="AB829" s="52"/>
      <c r="AC829" s="52"/>
      <c r="AD829" s="52"/>
      <c r="AE829" s="52"/>
      <c r="AF829" s="52"/>
      <c r="AG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  <c r="AA830" s="52"/>
      <c r="AB830" s="52"/>
      <c r="AC830" s="52"/>
      <c r="AD830" s="52"/>
      <c r="AE830" s="52"/>
      <c r="AF830" s="52"/>
      <c r="AG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  <c r="AA831" s="52"/>
      <c r="AB831" s="52"/>
      <c r="AC831" s="52"/>
      <c r="AD831" s="52"/>
      <c r="AE831" s="52"/>
      <c r="AF831" s="52"/>
      <c r="AG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  <c r="AA832" s="52"/>
      <c r="AB832" s="52"/>
      <c r="AC832" s="52"/>
      <c r="AD832" s="52"/>
      <c r="AE832" s="52"/>
      <c r="AF832" s="52"/>
      <c r="AG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  <c r="AA833" s="52"/>
      <c r="AB833" s="52"/>
      <c r="AC833" s="52"/>
      <c r="AD833" s="52"/>
      <c r="AE833" s="52"/>
      <c r="AF833" s="52"/>
      <c r="AG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  <c r="AA834" s="52"/>
      <c r="AB834" s="52"/>
      <c r="AC834" s="52"/>
      <c r="AD834" s="52"/>
      <c r="AE834" s="52"/>
      <c r="AF834" s="52"/>
      <c r="AG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  <c r="AA835" s="52"/>
      <c r="AB835" s="52"/>
      <c r="AC835" s="52"/>
      <c r="AD835" s="52"/>
      <c r="AE835" s="52"/>
      <c r="AF835" s="52"/>
      <c r="AG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  <c r="AA836" s="52"/>
      <c r="AB836" s="52"/>
      <c r="AC836" s="52"/>
      <c r="AD836" s="52"/>
      <c r="AE836" s="52"/>
      <c r="AF836" s="52"/>
      <c r="AG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  <c r="AA837" s="52"/>
      <c r="AB837" s="52"/>
      <c r="AC837" s="52"/>
      <c r="AD837" s="52"/>
      <c r="AE837" s="52"/>
      <c r="AF837" s="52"/>
      <c r="AG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  <c r="AA838" s="52"/>
      <c r="AB838" s="52"/>
      <c r="AC838" s="52"/>
      <c r="AD838" s="52"/>
      <c r="AE838" s="52"/>
      <c r="AF838" s="52"/>
      <c r="AG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  <c r="AA839" s="52"/>
      <c r="AB839" s="52"/>
      <c r="AC839" s="52"/>
      <c r="AD839" s="52"/>
      <c r="AE839" s="52"/>
      <c r="AF839" s="52"/>
      <c r="AG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  <c r="AA840" s="52"/>
      <c r="AB840" s="52"/>
      <c r="AC840" s="52"/>
      <c r="AD840" s="52"/>
      <c r="AE840" s="52"/>
      <c r="AF840" s="52"/>
      <c r="AG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  <c r="AA841" s="52"/>
      <c r="AB841" s="52"/>
      <c r="AC841" s="52"/>
      <c r="AD841" s="52"/>
      <c r="AE841" s="52"/>
      <c r="AF841" s="52"/>
      <c r="AG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  <c r="AA842" s="52"/>
      <c r="AB842" s="52"/>
      <c r="AC842" s="52"/>
      <c r="AD842" s="52"/>
      <c r="AE842" s="52"/>
      <c r="AF842" s="52"/>
      <c r="AG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  <c r="AA843" s="52"/>
      <c r="AB843" s="52"/>
      <c r="AC843" s="52"/>
      <c r="AD843" s="52"/>
      <c r="AE843" s="52"/>
      <c r="AF843" s="52"/>
      <c r="AG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  <c r="AA844" s="52"/>
      <c r="AB844" s="52"/>
      <c r="AC844" s="52"/>
      <c r="AD844" s="52"/>
      <c r="AE844" s="52"/>
      <c r="AF844" s="52"/>
      <c r="AG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  <c r="AA845" s="52"/>
      <c r="AB845" s="52"/>
      <c r="AC845" s="52"/>
      <c r="AD845" s="52"/>
      <c r="AE845" s="52"/>
      <c r="AF845" s="52"/>
      <c r="AG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  <c r="AA846" s="52"/>
      <c r="AB846" s="52"/>
      <c r="AC846" s="52"/>
      <c r="AD846" s="52"/>
      <c r="AE846" s="52"/>
      <c r="AF846" s="52"/>
      <c r="AG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  <c r="AA847" s="52"/>
      <c r="AB847" s="52"/>
      <c r="AC847" s="52"/>
      <c r="AD847" s="52"/>
      <c r="AE847" s="52"/>
      <c r="AF847" s="52"/>
      <c r="AG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  <c r="AA848" s="52"/>
      <c r="AB848" s="52"/>
      <c r="AC848" s="52"/>
      <c r="AD848" s="52"/>
      <c r="AE848" s="52"/>
      <c r="AF848" s="52"/>
      <c r="AG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  <c r="AA849" s="52"/>
      <c r="AB849" s="52"/>
      <c r="AC849" s="52"/>
      <c r="AD849" s="52"/>
      <c r="AE849" s="52"/>
      <c r="AF849" s="52"/>
      <c r="AG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  <c r="AA850" s="52"/>
      <c r="AB850" s="52"/>
      <c r="AC850" s="52"/>
      <c r="AD850" s="52"/>
      <c r="AE850" s="52"/>
      <c r="AF850" s="52"/>
      <c r="AG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  <c r="AA851" s="52"/>
      <c r="AB851" s="52"/>
      <c r="AC851" s="52"/>
      <c r="AD851" s="52"/>
      <c r="AE851" s="52"/>
      <c r="AF851" s="52"/>
      <c r="AG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  <c r="AA852" s="52"/>
      <c r="AB852" s="52"/>
      <c r="AC852" s="52"/>
      <c r="AD852" s="52"/>
      <c r="AE852" s="52"/>
      <c r="AF852" s="52"/>
      <c r="AG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  <c r="AA853" s="52"/>
      <c r="AB853" s="52"/>
      <c r="AC853" s="52"/>
      <c r="AD853" s="52"/>
      <c r="AE853" s="52"/>
      <c r="AF853" s="52"/>
      <c r="AG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  <c r="AA854" s="52"/>
      <c r="AB854" s="52"/>
      <c r="AC854" s="52"/>
      <c r="AD854" s="52"/>
      <c r="AE854" s="52"/>
      <c r="AF854" s="52"/>
      <c r="AG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  <c r="AA855" s="52"/>
      <c r="AB855" s="52"/>
      <c r="AC855" s="52"/>
      <c r="AD855" s="52"/>
      <c r="AE855" s="52"/>
      <c r="AF855" s="52"/>
      <c r="AG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  <c r="AA856" s="52"/>
      <c r="AB856" s="52"/>
      <c r="AC856" s="52"/>
      <c r="AD856" s="52"/>
      <c r="AE856" s="52"/>
      <c r="AF856" s="52"/>
      <c r="AG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  <c r="AA857" s="52"/>
      <c r="AB857" s="52"/>
      <c r="AC857" s="52"/>
      <c r="AD857" s="52"/>
      <c r="AE857" s="52"/>
      <c r="AF857" s="52"/>
      <c r="AG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  <c r="AA858" s="52"/>
      <c r="AB858" s="52"/>
      <c r="AC858" s="52"/>
      <c r="AD858" s="52"/>
      <c r="AE858" s="52"/>
      <c r="AF858" s="52"/>
      <c r="AG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  <c r="AA859" s="52"/>
      <c r="AB859" s="52"/>
      <c r="AC859" s="52"/>
      <c r="AD859" s="52"/>
      <c r="AE859" s="52"/>
      <c r="AF859" s="52"/>
      <c r="AG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  <c r="AA860" s="52"/>
      <c r="AB860" s="52"/>
      <c r="AC860" s="52"/>
      <c r="AD860" s="52"/>
      <c r="AE860" s="52"/>
      <c r="AF860" s="52"/>
      <c r="AG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  <c r="AA861" s="52"/>
      <c r="AB861" s="52"/>
      <c r="AC861" s="52"/>
      <c r="AD861" s="52"/>
      <c r="AE861" s="52"/>
      <c r="AF861" s="52"/>
      <c r="AG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  <c r="AA862" s="52"/>
      <c r="AB862" s="52"/>
      <c r="AC862" s="52"/>
      <c r="AD862" s="52"/>
      <c r="AE862" s="52"/>
      <c r="AF862" s="52"/>
      <c r="AG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  <c r="AA863" s="52"/>
      <c r="AB863" s="52"/>
      <c r="AC863" s="52"/>
      <c r="AD863" s="52"/>
      <c r="AE863" s="52"/>
      <c r="AF863" s="52"/>
      <c r="AG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  <c r="AA864" s="52"/>
      <c r="AB864" s="52"/>
      <c r="AC864" s="52"/>
      <c r="AD864" s="52"/>
      <c r="AE864" s="52"/>
      <c r="AF864" s="52"/>
      <c r="AG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  <c r="AA865" s="52"/>
      <c r="AB865" s="52"/>
      <c r="AC865" s="52"/>
      <c r="AD865" s="52"/>
      <c r="AE865" s="52"/>
      <c r="AF865" s="52"/>
      <c r="AG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  <c r="AA866" s="52"/>
      <c r="AB866" s="52"/>
      <c r="AC866" s="52"/>
      <c r="AD866" s="52"/>
      <c r="AE866" s="52"/>
      <c r="AF866" s="52"/>
      <c r="AG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  <c r="AA867" s="52"/>
      <c r="AB867" s="52"/>
      <c r="AC867" s="52"/>
      <c r="AD867" s="52"/>
      <c r="AE867" s="52"/>
      <c r="AF867" s="52"/>
      <c r="AG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  <c r="AA868" s="52"/>
      <c r="AB868" s="52"/>
      <c r="AC868" s="52"/>
      <c r="AD868" s="52"/>
      <c r="AE868" s="52"/>
      <c r="AF868" s="52"/>
      <c r="AG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  <c r="AA869" s="52"/>
      <c r="AB869" s="52"/>
      <c r="AC869" s="52"/>
      <c r="AD869" s="52"/>
      <c r="AE869" s="52"/>
      <c r="AF869" s="52"/>
      <c r="AG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  <c r="AA870" s="52"/>
      <c r="AB870" s="52"/>
      <c r="AC870" s="52"/>
      <c r="AD870" s="52"/>
      <c r="AE870" s="52"/>
      <c r="AF870" s="52"/>
      <c r="AG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  <c r="AA871" s="52"/>
      <c r="AB871" s="52"/>
      <c r="AC871" s="52"/>
      <c r="AD871" s="52"/>
      <c r="AE871" s="52"/>
      <c r="AF871" s="52"/>
      <c r="AG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  <c r="AA872" s="52"/>
      <c r="AB872" s="52"/>
      <c r="AC872" s="52"/>
      <c r="AD872" s="52"/>
      <c r="AE872" s="52"/>
      <c r="AF872" s="52"/>
      <c r="AG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  <c r="AA873" s="52"/>
      <c r="AB873" s="52"/>
      <c r="AC873" s="52"/>
      <c r="AD873" s="52"/>
      <c r="AE873" s="52"/>
      <c r="AF873" s="52"/>
      <c r="AG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  <c r="AA874" s="52"/>
      <c r="AB874" s="52"/>
      <c r="AC874" s="52"/>
      <c r="AD874" s="52"/>
      <c r="AE874" s="52"/>
      <c r="AF874" s="52"/>
      <c r="AG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  <c r="AA875" s="52"/>
      <c r="AB875" s="52"/>
      <c r="AC875" s="52"/>
      <c r="AD875" s="52"/>
      <c r="AE875" s="52"/>
      <c r="AF875" s="52"/>
      <c r="AG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  <c r="AA876" s="52"/>
      <c r="AB876" s="52"/>
      <c r="AC876" s="52"/>
      <c r="AD876" s="52"/>
      <c r="AE876" s="52"/>
      <c r="AF876" s="52"/>
      <c r="AG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  <c r="AA877" s="52"/>
      <c r="AB877" s="52"/>
      <c r="AC877" s="52"/>
      <c r="AD877" s="52"/>
      <c r="AE877" s="52"/>
      <c r="AF877" s="52"/>
      <c r="AG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  <c r="AA878" s="52"/>
      <c r="AB878" s="52"/>
      <c r="AC878" s="52"/>
      <c r="AD878" s="52"/>
      <c r="AE878" s="52"/>
      <c r="AF878" s="52"/>
      <c r="AG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  <c r="AA879" s="52"/>
      <c r="AB879" s="52"/>
      <c r="AC879" s="52"/>
      <c r="AD879" s="52"/>
      <c r="AE879" s="52"/>
      <c r="AF879" s="52"/>
      <c r="AG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  <c r="AA880" s="52"/>
      <c r="AB880" s="52"/>
      <c r="AC880" s="52"/>
      <c r="AD880" s="52"/>
      <c r="AE880" s="52"/>
      <c r="AF880" s="52"/>
      <c r="AG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  <c r="AA881" s="52"/>
      <c r="AB881" s="52"/>
      <c r="AC881" s="52"/>
      <c r="AD881" s="52"/>
      <c r="AE881" s="52"/>
      <c r="AF881" s="52"/>
      <c r="AG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  <c r="AA882" s="52"/>
      <c r="AB882" s="52"/>
      <c r="AC882" s="52"/>
      <c r="AD882" s="52"/>
      <c r="AE882" s="52"/>
      <c r="AF882" s="52"/>
      <c r="AG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  <c r="AA883" s="52"/>
      <c r="AB883" s="52"/>
      <c r="AC883" s="52"/>
      <c r="AD883" s="52"/>
      <c r="AE883" s="52"/>
      <c r="AF883" s="52"/>
      <c r="AG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  <c r="AA884" s="52"/>
      <c r="AB884" s="52"/>
      <c r="AC884" s="52"/>
      <c r="AD884" s="52"/>
      <c r="AE884" s="52"/>
      <c r="AF884" s="52"/>
      <c r="AG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  <c r="AA885" s="52"/>
      <c r="AB885" s="52"/>
      <c r="AC885" s="52"/>
      <c r="AD885" s="52"/>
      <c r="AE885" s="52"/>
      <c r="AF885" s="52"/>
      <c r="AG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  <c r="AA886" s="52"/>
      <c r="AB886" s="52"/>
      <c r="AC886" s="52"/>
      <c r="AD886" s="52"/>
      <c r="AE886" s="52"/>
      <c r="AF886" s="52"/>
      <c r="AG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  <c r="AA887" s="52"/>
      <c r="AB887" s="52"/>
      <c r="AC887" s="52"/>
      <c r="AD887" s="52"/>
      <c r="AE887" s="52"/>
      <c r="AF887" s="52"/>
      <c r="AG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  <c r="AA888" s="52"/>
      <c r="AB888" s="52"/>
      <c r="AC888" s="52"/>
      <c r="AD888" s="52"/>
      <c r="AE888" s="52"/>
      <c r="AF888" s="52"/>
      <c r="AG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  <c r="AA889" s="52"/>
      <c r="AB889" s="52"/>
      <c r="AC889" s="52"/>
      <c r="AD889" s="52"/>
      <c r="AE889" s="52"/>
      <c r="AF889" s="52"/>
      <c r="AG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  <c r="AA890" s="52"/>
      <c r="AB890" s="52"/>
      <c r="AC890" s="52"/>
      <c r="AD890" s="52"/>
      <c r="AE890" s="52"/>
      <c r="AF890" s="52"/>
      <c r="AG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  <c r="AA891" s="52"/>
      <c r="AB891" s="52"/>
      <c r="AC891" s="52"/>
      <c r="AD891" s="52"/>
      <c r="AE891" s="52"/>
      <c r="AF891" s="52"/>
      <c r="AG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  <c r="AA892" s="52"/>
      <c r="AB892" s="52"/>
      <c r="AC892" s="52"/>
      <c r="AD892" s="52"/>
      <c r="AE892" s="52"/>
      <c r="AF892" s="52"/>
      <c r="AG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  <c r="AA893" s="52"/>
      <c r="AB893" s="52"/>
      <c r="AC893" s="52"/>
      <c r="AD893" s="52"/>
      <c r="AE893" s="52"/>
      <c r="AF893" s="52"/>
      <c r="AG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  <c r="AA894" s="52"/>
      <c r="AB894" s="52"/>
      <c r="AC894" s="52"/>
      <c r="AD894" s="52"/>
      <c r="AE894" s="52"/>
      <c r="AF894" s="52"/>
      <c r="AG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  <c r="AA895" s="52"/>
      <c r="AB895" s="52"/>
      <c r="AC895" s="52"/>
      <c r="AD895" s="52"/>
      <c r="AE895" s="52"/>
      <c r="AF895" s="52"/>
      <c r="AG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  <c r="AA896" s="52"/>
      <c r="AB896" s="52"/>
      <c r="AC896" s="52"/>
      <c r="AD896" s="52"/>
      <c r="AE896" s="52"/>
      <c r="AF896" s="52"/>
      <c r="AG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  <c r="AA897" s="52"/>
      <c r="AB897" s="52"/>
      <c r="AC897" s="52"/>
      <c r="AD897" s="52"/>
      <c r="AE897" s="52"/>
      <c r="AF897" s="52"/>
      <c r="AG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  <c r="AA898" s="52"/>
      <c r="AB898" s="52"/>
      <c r="AC898" s="52"/>
      <c r="AD898" s="52"/>
      <c r="AE898" s="52"/>
      <c r="AF898" s="52"/>
      <c r="AG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  <c r="AA899" s="52"/>
      <c r="AB899" s="52"/>
      <c r="AC899" s="52"/>
      <c r="AD899" s="52"/>
      <c r="AE899" s="52"/>
      <c r="AF899" s="52"/>
      <c r="AG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  <c r="AA900" s="52"/>
      <c r="AB900" s="52"/>
      <c r="AC900" s="52"/>
      <c r="AD900" s="52"/>
      <c r="AE900" s="52"/>
      <c r="AF900" s="52"/>
      <c r="AG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  <c r="AA901" s="52"/>
      <c r="AB901" s="52"/>
      <c r="AC901" s="52"/>
      <c r="AD901" s="52"/>
      <c r="AE901" s="52"/>
      <c r="AF901" s="52"/>
      <c r="AG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  <c r="AA902" s="52"/>
      <c r="AB902" s="52"/>
      <c r="AC902" s="52"/>
      <c r="AD902" s="52"/>
      <c r="AE902" s="52"/>
      <c r="AF902" s="52"/>
      <c r="AG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  <c r="AA903" s="52"/>
      <c r="AB903" s="52"/>
      <c r="AC903" s="52"/>
      <c r="AD903" s="52"/>
      <c r="AE903" s="52"/>
      <c r="AF903" s="52"/>
      <c r="AG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  <c r="AA904" s="52"/>
      <c r="AB904" s="52"/>
      <c r="AC904" s="52"/>
      <c r="AD904" s="52"/>
      <c r="AE904" s="52"/>
      <c r="AF904" s="52"/>
      <c r="AG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  <c r="AA905" s="52"/>
      <c r="AB905" s="52"/>
      <c r="AC905" s="52"/>
      <c r="AD905" s="52"/>
      <c r="AE905" s="52"/>
      <c r="AF905" s="52"/>
      <c r="AG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  <c r="AA906" s="52"/>
      <c r="AB906" s="52"/>
      <c r="AC906" s="52"/>
      <c r="AD906" s="52"/>
      <c r="AE906" s="52"/>
      <c r="AF906" s="52"/>
      <c r="AG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  <c r="AA907" s="52"/>
      <c r="AB907" s="52"/>
      <c r="AC907" s="52"/>
      <c r="AD907" s="52"/>
      <c r="AE907" s="52"/>
      <c r="AF907" s="52"/>
      <c r="AG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  <c r="AA908" s="52"/>
      <c r="AB908" s="52"/>
      <c r="AC908" s="52"/>
      <c r="AD908" s="52"/>
      <c r="AE908" s="52"/>
      <c r="AF908" s="52"/>
      <c r="AG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  <c r="AA909" s="52"/>
      <c r="AB909" s="52"/>
      <c r="AC909" s="52"/>
      <c r="AD909" s="52"/>
      <c r="AE909" s="52"/>
      <c r="AF909" s="52"/>
      <c r="AG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  <c r="AA910" s="52"/>
      <c r="AB910" s="52"/>
      <c r="AC910" s="52"/>
      <c r="AD910" s="52"/>
      <c r="AE910" s="52"/>
      <c r="AF910" s="52"/>
      <c r="AG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  <c r="AA911" s="52"/>
      <c r="AB911" s="52"/>
      <c r="AC911" s="52"/>
      <c r="AD911" s="52"/>
      <c r="AE911" s="52"/>
      <c r="AF911" s="52"/>
      <c r="AG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  <c r="AA912" s="52"/>
      <c r="AB912" s="52"/>
      <c r="AC912" s="52"/>
      <c r="AD912" s="52"/>
      <c r="AE912" s="52"/>
      <c r="AF912" s="52"/>
      <c r="AG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  <c r="AA913" s="52"/>
      <c r="AB913" s="52"/>
      <c r="AC913" s="52"/>
      <c r="AD913" s="52"/>
      <c r="AE913" s="52"/>
      <c r="AF913" s="52"/>
      <c r="AG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  <c r="AA914" s="52"/>
      <c r="AB914" s="52"/>
      <c r="AC914" s="52"/>
      <c r="AD914" s="52"/>
      <c r="AE914" s="52"/>
      <c r="AF914" s="52"/>
      <c r="AG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  <c r="AA915" s="52"/>
      <c r="AB915" s="52"/>
      <c r="AC915" s="52"/>
      <c r="AD915" s="52"/>
      <c r="AE915" s="52"/>
      <c r="AF915" s="52"/>
      <c r="AG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  <c r="AA916" s="52"/>
      <c r="AB916" s="52"/>
      <c r="AC916" s="52"/>
      <c r="AD916" s="52"/>
      <c r="AE916" s="52"/>
      <c r="AF916" s="52"/>
      <c r="AG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  <c r="AA917" s="52"/>
      <c r="AB917" s="52"/>
      <c r="AC917" s="52"/>
      <c r="AD917" s="52"/>
      <c r="AE917" s="52"/>
      <c r="AF917" s="52"/>
      <c r="AG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  <c r="AA918" s="52"/>
      <c r="AB918" s="52"/>
      <c r="AC918" s="52"/>
      <c r="AD918" s="52"/>
      <c r="AE918" s="52"/>
      <c r="AF918" s="52"/>
      <c r="AG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  <c r="AA920" s="52"/>
      <c r="AB920" s="52"/>
      <c r="AC920" s="52"/>
      <c r="AD920" s="52"/>
      <c r="AE920" s="52"/>
      <c r="AF920" s="52"/>
      <c r="AG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  <c r="AA921" s="52"/>
      <c r="AB921" s="52"/>
      <c r="AC921" s="52"/>
      <c r="AD921" s="52"/>
      <c r="AE921" s="52"/>
      <c r="AF921" s="52"/>
      <c r="AG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  <c r="AA922" s="52"/>
      <c r="AB922" s="52"/>
      <c r="AC922" s="52"/>
      <c r="AD922" s="52"/>
      <c r="AE922" s="52"/>
      <c r="AF922" s="52"/>
      <c r="AG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  <c r="AA923" s="52"/>
      <c r="AB923" s="52"/>
      <c r="AC923" s="52"/>
      <c r="AD923" s="52"/>
      <c r="AE923" s="52"/>
      <c r="AF923" s="52"/>
      <c r="AG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  <c r="AA924" s="52"/>
      <c r="AB924" s="52"/>
      <c r="AC924" s="52"/>
      <c r="AD924" s="52"/>
      <c r="AE924" s="52"/>
      <c r="AF924" s="52"/>
      <c r="AG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  <c r="AA925" s="52"/>
      <c r="AB925" s="52"/>
      <c r="AC925" s="52"/>
      <c r="AD925" s="52"/>
      <c r="AE925" s="52"/>
      <c r="AF925" s="52"/>
      <c r="AG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  <c r="AA926" s="52"/>
      <c r="AB926" s="52"/>
      <c r="AC926" s="52"/>
      <c r="AD926" s="52"/>
      <c r="AE926" s="52"/>
      <c r="AF926" s="52"/>
      <c r="AG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  <c r="AA927" s="52"/>
      <c r="AB927" s="52"/>
      <c r="AC927" s="52"/>
      <c r="AD927" s="52"/>
      <c r="AE927" s="52"/>
      <c r="AF927" s="52"/>
      <c r="AG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  <c r="AA928" s="52"/>
      <c r="AB928" s="52"/>
      <c r="AC928" s="52"/>
      <c r="AD928" s="52"/>
      <c r="AE928" s="52"/>
      <c r="AF928" s="52"/>
      <c r="AG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  <c r="AA929" s="52"/>
      <c r="AB929" s="52"/>
      <c r="AC929" s="52"/>
      <c r="AD929" s="52"/>
      <c r="AE929" s="52"/>
      <c r="AF929" s="52"/>
      <c r="AG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  <c r="AA930" s="52"/>
      <c r="AB930" s="52"/>
      <c r="AC930" s="52"/>
      <c r="AD930" s="52"/>
      <c r="AE930" s="52"/>
      <c r="AF930" s="52"/>
      <c r="AG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  <c r="AA931" s="52"/>
      <c r="AB931" s="52"/>
      <c r="AC931" s="52"/>
      <c r="AD931" s="52"/>
      <c r="AE931" s="52"/>
      <c r="AF931" s="52"/>
      <c r="AG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  <c r="AA932" s="52"/>
      <c r="AB932" s="52"/>
      <c r="AC932" s="52"/>
      <c r="AD932" s="52"/>
      <c r="AE932" s="52"/>
      <c r="AF932" s="52"/>
      <c r="AG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  <c r="AA933" s="52"/>
      <c r="AB933" s="52"/>
      <c r="AC933" s="52"/>
      <c r="AD933" s="52"/>
      <c r="AE933" s="52"/>
      <c r="AF933" s="52"/>
      <c r="AG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  <c r="AA934" s="52"/>
      <c r="AB934" s="52"/>
      <c r="AC934" s="52"/>
      <c r="AD934" s="52"/>
      <c r="AE934" s="52"/>
      <c r="AF934" s="52"/>
      <c r="AG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  <c r="AA935" s="52"/>
      <c r="AB935" s="52"/>
      <c r="AC935" s="52"/>
      <c r="AD935" s="52"/>
      <c r="AE935" s="52"/>
      <c r="AF935" s="52"/>
      <c r="AG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  <c r="AA936" s="52"/>
      <c r="AB936" s="52"/>
      <c r="AC936" s="52"/>
      <c r="AD936" s="52"/>
      <c r="AE936" s="52"/>
      <c r="AF936" s="52"/>
      <c r="AG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  <c r="AA938" s="52"/>
      <c r="AB938" s="52"/>
      <c r="AC938" s="52"/>
      <c r="AD938" s="52"/>
      <c r="AE938" s="52"/>
      <c r="AF938" s="52"/>
      <c r="AG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  <c r="AA939" s="52"/>
      <c r="AB939" s="52"/>
      <c r="AC939" s="52"/>
      <c r="AD939" s="52"/>
      <c r="AE939" s="52"/>
      <c r="AF939" s="52"/>
      <c r="AG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  <c r="AA940" s="52"/>
      <c r="AB940" s="52"/>
      <c r="AC940" s="52"/>
      <c r="AD940" s="52"/>
      <c r="AE940" s="52"/>
      <c r="AF940" s="52"/>
      <c r="AG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  <c r="AA941" s="52"/>
      <c r="AB941" s="52"/>
      <c r="AC941" s="52"/>
      <c r="AD941" s="52"/>
      <c r="AE941" s="52"/>
      <c r="AF941" s="52"/>
      <c r="AG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  <c r="AA942" s="52"/>
      <c r="AB942" s="52"/>
      <c r="AC942" s="52"/>
      <c r="AD942" s="52"/>
      <c r="AE942" s="52"/>
      <c r="AF942" s="52"/>
      <c r="AG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  <c r="AA943" s="52"/>
      <c r="AB943" s="52"/>
      <c r="AC943" s="52"/>
      <c r="AD943" s="52"/>
      <c r="AE943" s="52"/>
      <c r="AF943" s="52"/>
      <c r="AG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  <c r="AA944" s="52"/>
      <c r="AB944" s="52"/>
      <c r="AC944" s="52"/>
      <c r="AD944" s="52"/>
      <c r="AE944" s="52"/>
      <c r="AF944" s="52"/>
      <c r="AG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  <c r="AA945" s="52"/>
      <c r="AB945" s="52"/>
      <c r="AC945" s="52"/>
      <c r="AD945" s="52"/>
      <c r="AE945" s="52"/>
      <c r="AF945" s="52"/>
      <c r="AG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  <c r="AA946" s="52"/>
      <c r="AB946" s="52"/>
      <c r="AC946" s="52"/>
      <c r="AD946" s="52"/>
      <c r="AE946" s="52"/>
      <c r="AF946" s="52"/>
      <c r="AG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  <c r="AA947" s="52"/>
      <c r="AB947" s="52"/>
      <c r="AC947" s="52"/>
      <c r="AD947" s="52"/>
      <c r="AE947" s="52"/>
      <c r="AF947" s="52"/>
      <c r="AG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  <c r="AA948" s="52"/>
      <c r="AB948" s="52"/>
      <c r="AC948" s="52"/>
      <c r="AD948" s="52"/>
      <c r="AE948" s="52"/>
      <c r="AF948" s="52"/>
      <c r="AG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  <c r="AA949" s="52"/>
      <c r="AB949" s="52"/>
      <c r="AC949" s="52"/>
      <c r="AD949" s="52"/>
      <c r="AE949" s="52"/>
      <c r="AF949" s="52"/>
      <c r="AG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  <c r="AA950" s="52"/>
      <c r="AB950" s="52"/>
      <c r="AC950" s="52"/>
      <c r="AD950" s="52"/>
      <c r="AE950" s="52"/>
      <c r="AF950" s="52"/>
      <c r="AG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  <c r="AA951" s="52"/>
      <c r="AB951" s="52"/>
      <c r="AC951" s="52"/>
      <c r="AD951" s="52"/>
      <c r="AE951" s="52"/>
      <c r="AF951" s="52"/>
      <c r="AG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  <c r="AA952" s="52"/>
      <c r="AB952" s="52"/>
      <c r="AC952" s="52"/>
      <c r="AD952" s="52"/>
      <c r="AE952" s="52"/>
      <c r="AF952" s="52"/>
      <c r="AG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  <c r="AA953" s="52"/>
      <c r="AB953" s="52"/>
      <c r="AC953" s="52"/>
      <c r="AD953" s="52"/>
      <c r="AE953" s="52"/>
      <c r="AF953" s="52"/>
      <c r="AG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  <c r="AA954" s="52"/>
      <c r="AB954" s="52"/>
      <c r="AC954" s="52"/>
      <c r="AD954" s="52"/>
      <c r="AE954" s="52"/>
      <c r="AF954" s="52"/>
      <c r="AG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  <c r="AA955" s="52"/>
      <c r="AB955" s="52"/>
      <c r="AC955" s="52"/>
      <c r="AD955" s="52"/>
      <c r="AE955" s="52"/>
      <c r="AF955" s="52"/>
      <c r="AG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  <c r="AA956" s="52"/>
      <c r="AB956" s="52"/>
      <c r="AC956" s="52"/>
      <c r="AD956" s="52"/>
      <c r="AE956" s="52"/>
      <c r="AF956" s="52"/>
      <c r="AG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  <c r="AA957" s="52"/>
      <c r="AB957" s="52"/>
      <c r="AC957" s="52"/>
      <c r="AD957" s="52"/>
      <c r="AE957" s="52"/>
      <c r="AF957" s="52"/>
      <c r="AG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  <c r="AA958" s="52"/>
      <c r="AB958" s="52"/>
      <c r="AC958" s="52"/>
      <c r="AD958" s="52"/>
      <c r="AE958" s="52"/>
      <c r="AF958" s="52"/>
      <c r="AG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  <c r="AA959" s="52"/>
      <c r="AB959" s="52"/>
      <c r="AC959" s="52"/>
      <c r="AD959" s="52"/>
      <c r="AE959" s="52"/>
      <c r="AF959" s="52"/>
      <c r="AG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  <c r="AA960" s="52"/>
      <c r="AB960" s="52"/>
      <c r="AC960" s="52"/>
      <c r="AD960" s="52"/>
      <c r="AE960" s="52"/>
      <c r="AF960" s="52"/>
      <c r="AG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  <c r="AA961" s="52"/>
      <c r="AB961" s="52"/>
      <c r="AC961" s="52"/>
      <c r="AD961" s="52"/>
      <c r="AE961" s="52"/>
      <c r="AF961" s="52"/>
      <c r="AG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  <c r="AA962" s="52"/>
      <c r="AB962" s="52"/>
      <c r="AC962" s="52"/>
      <c r="AD962" s="52"/>
      <c r="AE962" s="52"/>
      <c r="AF962" s="52"/>
      <c r="AG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  <c r="AA963" s="52"/>
      <c r="AB963" s="52"/>
      <c r="AC963" s="52"/>
      <c r="AD963" s="52"/>
      <c r="AE963" s="52"/>
      <c r="AF963" s="52"/>
      <c r="AG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  <c r="AA964" s="52"/>
      <c r="AB964" s="52"/>
      <c r="AC964" s="52"/>
      <c r="AD964" s="52"/>
      <c r="AE964" s="52"/>
      <c r="AF964" s="52"/>
      <c r="AG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  <c r="AA965" s="52"/>
      <c r="AB965" s="52"/>
      <c r="AC965" s="52"/>
      <c r="AD965" s="52"/>
      <c r="AE965" s="52"/>
      <c r="AF965" s="52"/>
      <c r="AG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  <c r="AA966" s="52"/>
      <c r="AB966" s="52"/>
      <c r="AC966" s="52"/>
      <c r="AD966" s="52"/>
      <c r="AE966" s="52"/>
      <c r="AF966" s="52"/>
      <c r="AG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  <c r="AA967" s="52"/>
      <c r="AB967" s="52"/>
      <c r="AC967" s="52"/>
      <c r="AD967" s="52"/>
      <c r="AE967" s="52"/>
      <c r="AF967" s="52"/>
      <c r="AG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  <c r="AA968" s="52"/>
      <c r="AB968" s="52"/>
      <c r="AC968" s="52"/>
      <c r="AD968" s="52"/>
      <c r="AE968" s="52"/>
      <c r="AF968" s="52"/>
      <c r="AG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  <c r="AA969" s="52"/>
      <c r="AB969" s="52"/>
      <c r="AC969" s="52"/>
      <c r="AD969" s="52"/>
      <c r="AE969" s="52"/>
      <c r="AF969" s="52"/>
      <c r="AG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  <c r="AA970" s="52"/>
      <c r="AB970" s="52"/>
      <c r="AC970" s="52"/>
      <c r="AD970" s="52"/>
      <c r="AE970" s="52"/>
      <c r="AF970" s="52"/>
      <c r="AG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  <c r="AA971" s="52"/>
      <c r="AB971" s="52"/>
      <c r="AC971" s="52"/>
      <c r="AD971" s="52"/>
      <c r="AE971" s="52"/>
      <c r="AF971" s="52"/>
      <c r="AG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  <c r="AA972" s="52"/>
      <c r="AB972" s="52"/>
      <c r="AC972" s="52"/>
      <c r="AD972" s="52"/>
      <c r="AE972" s="52"/>
      <c r="AF972" s="52"/>
      <c r="AG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  <c r="AA973" s="52"/>
      <c r="AB973" s="52"/>
      <c r="AC973" s="52"/>
      <c r="AD973" s="52"/>
      <c r="AE973" s="52"/>
      <c r="AF973" s="52"/>
      <c r="AG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  <c r="AA974" s="52"/>
      <c r="AB974" s="52"/>
      <c r="AC974" s="52"/>
      <c r="AD974" s="52"/>
      <c r="AE974" s="52"/>
      <c r="AF974" s="52"/>
      <c r="AG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  <c r="AA975" s="52"/>
      <c r="AB975" s="52"/>
      <c r="AC975" s="52"/>
      <c r="AD975" s="52"/>
      <c r="AE975" s="52"/>
      <c r="AF975" s="52"/>
      <c r="AG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  <c r="AA976" s="52"/>
      <c r="AB976" s="52"/>
      <c r="AC976" s="52"/>
      <c r="AD976" s="52"/>
      <c r="AE976" s="52"/>
      <c r="AF976" s="52"/>
      <c r="AG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  <c r="AA977" s="52"/>
      <c r="AB977" s="52"/>
      <c r="AC977" s="52"/>
      <c r="AD977" s="52"/>
      <c r="AE977" s="52"/>
      <c r="AF977" s="52"/>
      <c r="AG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  <c r="AA978" s="52"/>
      <c r="AB978" s="52"/>
      <c r="AC978" s="52"/>
      <c r="AD978" s="52"/>
      <c r="AE978" s="52"/>
      <c r="AF978" s="52"/>
      <c r="AG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  <c r="AA979" s="52"/>
      <c r="AB979" s="52"/>
      <c r="AC979" s="52"/>
      <c r="AD979" s="52"/>
      <c r="AE979" s="52"/>
      <c r="AF979" s="52"/>
      <c r="AG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  <c r="AA980" s="52"/>
      <c r="AB980" s="52"/>
      <c r="AC980" s="52"/>
      <c r="AD980" s="52"/>
      <c r="AE980" s="52"/>
      <c r="AF980" s="52"/>
      <c r="AG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  <c r="AA981" s="52"/>
      <c r="AB981" s="52"/>
      <c r="AC981" s="52"/>
      <c r="AD981" s="52"/>
      <c r="AE981" s="52"/>
      <c r="AF981" s="52"/>
      <c r="AG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  <c r="AA982" s="52"/>
      <c r="AB982" s="52"/>
      <c r="AC982" s="52"/>
      <c r="AD982" s="52"/>
      <c r="AE982" s="52"/>
      <c r="AF982" s="52"/>
      <c r="AG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  <c r="AA983" s="52"/>
      <c r="AB983" s="52"/>
      <c r="AC983" s="52"/>
      <c r="AD983" s="52"/>
      <c r="AE983" s="52"/>
      <c r="AF983" s="52"/>
      <c r="AG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  <c r="AA984" s="52"/>
      <c r="AB984" s="52"/>
      <c r="AC984" s="52"/>
      <c r="AD984" s="52"/>
      <c r="AE984" s="52"/>
      <c r="AF984" s="52"/>
      <c r="AG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  <c r="AA985" s="52"/>
      <c r="AB985" s="52"/>
      <c r="AC985" s="52"/>
      <c r="AD985" s="52"/>
      <c r="AE985" s="52"/>
      <c r="AF985" s="52"/>
      <c r="AG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  <c r="AA986" s="52"/>
      <c r="AB986" s="52"/>
      <c r="AC986" s="52"/>
      <c r="AD986" s="52"/>
      <c r="AE986" s="52"/>
      <c r="AF986" s="52"/>
      <c r="AG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  <c r="AA987" s="52"/>
      <c r="AB987" s="52"/>
      <c r="AC987" s="52"/>
      <c r="AD987" s="52"/>
      <c r="AE987" s="52"/>
      <c r="AF987" s="52"/>
      <c r="AG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  <c r="AA988" s="52"/>
      <c r="AB988" s="52"/>
      <c r="AC988" s="52"/>
      <c r="AD988" s="52"/>
      <c r="AE988" s="52"/>
      <c r="AF988" s="52"/>
      <c r="AG988" s="52"/>
    </row>
    <row r="989">
      <c r="A989" s="52"/>
      <c r="B989" s="52"/>
      <c r="C989" s="52"/>
      <c r="D989" s="52"/>
      <c r="E989" s="52"/>
      <c r="F989" s="52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  <c r="AA989" s="52"/>
      <c r="AB989" s="52"/>
      <c r="AC989" s="52"/>
      <c r="AD989" s="52"/>
      <c r="AE989" s="52"/>
      <c r="AF989" s="52"/>
      <c r="AG989" s="52"/>
    </row>
    <row r="990">
      <c r="A990" s="52"/>
      <c r="B990" s="52"/>
      <c r="C990" s="52"/>
      <c r="D990" s="52"/>
      <c r="E990" s="52"/>
      <c r="F990" s="52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  <c r="AA990" s="52"/>
      <c r="AB990" s="52"/>
      <c r="AC990" s="52"/>
      <c r="AD990" s="52"/>
      <c r="AE990" s="52"/>
      <c r="AF990" s="52"/>
      <c r="AG990" s="52"/>
    </row>
    <row r="991">
      <c r="A991" s="52"/>
      <c r="B991" s="52"/>
      <c r="C991" s="52"/>
      <c r="D991" s="52"/>
      <c r="E991" s="52"/>
      <c r="F991" s="52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  <c r="AA991" s="52"/>
      <c r="AB991" s="52"/>
      <c r="AC991" s="52"/>
      <c r="AD991" s="52"/>
      <c r="AE991" s="52"/>
      <c r="AF991" s="52"/>
      <c r="AG991" s="52"/>
    </row>
    <row r="992">
      <c r="A992" s="52"/>
      <c r="B992" s="52"/>
      <c r="C992" s="52"/>
      <c r="D992" s="52"/>
      <c r="E992" s="52"/>
      <c r="F992" s="52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  <c r="AA992" s="52"/>
      <c r="AB992" s="52"/>
      <c r="AC992" s="52"/>
      <c r="AD992" s="52"/>
      <c r="AE992" s="52"/>
      <c r="AF992" s="52"/>
      <c r="AG992" s="52"/>
    </row>
    <row r="993">
      <c r="A993" s="52"/>
      <c r="B993" s="52"/>
      <c r="C993" s="52"/>
      <c r="D993" s="52"/>
      <c r="E993" s="52"/>
      <c r="F993" s="52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  <c r="AA993" s="52"/>
      <c r="AB993" s="52"/>
      <c r="AC993" s="52"/>
      <c r="AD993" s="52"/>
      <c r="AE993" s="52"/>
      <c r="AF993" s="52"/>
      <c r="AG993" s="52"/>
    </row>
    <row r="994">
      <c r="A994" s="52"/>
      <c r="B994" s="52"/>
      <c r="C994" s="52"/>
      <c r="D994" s="52"/>
      <c r="E994" s="52"/>
      <c r="F994" s="52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  <c r="AA994" s="52"/>
      <c r="AB994" s="52"/>
      <c r="AC994" s="52"/>
      <c r="AD994" s="52"/>
      <c r="AE994" s="52"/>
      <c r="AF994" s="52"/>
      <c r="AG994" s="52"/>
    </row>
    <row r="995">
      <c r="A995" s="52"/>
      <c r="B995" s="52"/>
      <c r="C995" s="52"/>
      <c r="D995" s="52"/>
      <c r="E995" s="52"/>
      <c r="F995" s="52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  <c r="AA995" s="52"/>
      <c r="AB995" s="52"/>
      <c r="AC995" s="52"/>
      <c r="AD995" s="52"/>
      <c r="AE995" s="52"/>
      <c r="AF995" s="52"/>
      <c r="AG995" s="52"/>
    </row>
    <row r="996">
      <c r="A996" s="52"/>
      <c r="B996" s="52"/>
      <c r="C996" s="52"/>
      <c r="D996" s="52"/>
      <c r="E996" s="52"/>
      <c r="F996" s="52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  <c r="AA996" s="52"/>
      <c r="AB996" s="52"/>
      <c r="AC996" s="52"/>
      <c r="AD996" s="52"/>
      <c r="AE996" s="52"/>
      <c r="AF996" s="52"/>
      <c r="AG996" s="52"/>
    </row>
    <row r="997">
      <c r="A997" s="52"/>
      <c r="B997" s="52"/>
      <c r="C997" s="52"/>
      <c r="D997" s="52"/>
      <c r="E997" s="52"/>
      <c r="F997" s="52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  <c r="AA997" s="52"/>
      <c r="AB997" s="52"/>
      <c r="AC997" s="52"/>
      <c r="AD997" s="52"/>
      <c r="AE997" s="52"/>
      <c r="AF997" s="52"/>
      <c r="AG997" s="52"/>
    </row>
    <row r="998">
      <c r="A998" s="52"/>
      <c r="B998" s="52"/>
      <c r="C998" s="52"/>
      <c r="D998" s="52"/>
      <c r="E998" s="52"/>
      <c r="F998" s="52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  <c r="AA998" s="52"/>
      <c r="AB998" s="52"/>
      <c r="AC998" s="52"/>
      <c r="AD998" s="52"/>
      <c r="AE998" s="52"/>
      <c r="AF998" s="52"/>
      <c r="AG998" s="52"/>
    </row>
    <row r="999">
      <c r="A999" s="52"/>
      <c r="B999" s="52"/>
      <c r="C999" s="52"/>
      <c r="D999" s="52"/>
      <c r="E999" s="52"/>
      <c r="F999" s="52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  <c r="AA999" s="52"/>
      <c r="AB999" s="52"/>
      <c r="AC999" s="52"/>
      <c r="AD999" s="52"/>
      <c r="AE999" s="52"/>
      <c r="AF999" s="52"/>
      <c r="AG999" s="52"/>
    </row>
    <row r="1000">
      <c r="A1000" s="52"/>
      <c r="B1000" s="52"/>
      <c r="C1000" s="52"/>
      <c r="D1000" s="52"/>
      <c r="E1000" s="52"/>
      <c r="F1000" s="52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  <c r="AA1000" s="52"/>
      <c r="AB1000" s="52"/>
      <c r="AC1000" s="52"/>
      <c r="AD1000" s="52"/>
      <c r="AE1000" s="52"/>
      <c r="AF1000" s="52"/>
      <c r="AG1000" s="52"/>
    </row>
  </sheetData>
  <mergeCells count="1">
    <mergeCell ref="F1:K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2.38"/>
    <col customWidth="1" min="3" max="5" width="13.63"/>
  </cols>
  <sheetData>
    <row r="1">
      <c r="A1" s="54"/>
      <c r="B1" s="55"/>
      <c r="C1" s="56" t="s">
        <v>100</v>
      </c>
      <c r="D1" s="56" t="s">
        <v>101</v>
      </c>
      <c r="E1" s="56" t="s">
        <v>102</v>
      </c>
      <c r="F1" s="54"/>
      <c r="G1" s="57" t="s">
        <v>103</v>
      </c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>
      <c r="A2" s="54"/>
      <c r="B2" s="54"/>
      <c r="C2" s="58"/>
      <c r="D2" s="58"/>
      <c r="E2" s="58"/>
      <c r="F2" s="54"/>
      <c r="G2" s="11" t="s">
        <v>104</v>
      </c>
      <c r="H2" s="59"/>
      <c r="J2" s="60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>
      <c r="A3" s="61" t="s">
        <v>105</v>
      </c>
      <c r="B3" s="61" t="s">
        <v>106</v>
      </c>
      <c r="C3" s="62"/>
      <c r="D3" s="62"/>
      <c r="E3" s="63"/>
      <c r="F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>
      <c r="A4" s="64" t="s">
        <v>107</v>
      </c>
      <c r="B4" s="64" t="s">
        <v>108</v>
      </c>
      <c r="C4" s="65"/>
      <c r="D4" s="65"/>
      <c r="E4" s="66"/>
      <c r="F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67" t="s">
        <v>109</v>
      </c>
      <c r="B5" s="67" t="s">
        <v>110</v>
      </c>
      <c r="C5" s="68"/>
      <c r="D5" s="68"/>
      <c r="E5" s="69"/>
      <c r="F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>
      <c r="A6" s="70" t="s">
        <v>111</v>
      </c>
      <c r="B6" s="70" t="s">
        <v>112</v>
      </c>
      <c r="C6" s="71"/>
      <c r="D6" s="71"/>
      <c r="E6" s="72"/>
      <c r="F6" s="54"/>
      <c r="H6" s="73"/>
      <c r="J6" s="7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4"/>
      <c r="B7" s="54"/>
      <c r="C7" s="75">
        <f t="shared" ref="C7:E7" si="1">SUM(C2:C6)</f>
        <v>0</v>
      </c>
      <c r="D7" s="75">
        <f t="shared" si="1"/>
        <v>0</v>
      </c>
      <c r="E7" s="75">
        <f t="shared" si="1"/>
        <v>0</v>
      </c>
      <c r="F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4"/>
      <c r="B8" s="54"/>
      <c r="C8" s="54"/>
      <c r="D8" s="54"/>
      <c r="E8" s="54"/>
      <c r="F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A9" s="76" t="s">
        <v>113</v>
      </c>
      <c r="B9" s="76" t="s">
        <v>114</v>
      </c>
      <c r="C9" s="55"/>
      <c r="D9" s="54"/>
      <c r="E9" s="54"/>
      <c r="F9" s="54"/>
      <c r="G9" s="11" t="s">
        <v>115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>
      <c r="A10" s="77" t="s">
        <v>116</v>
      </c>
      <c r="B10" s="77" t="s">
        <v>117</v>
      </c>
      <c r="C10" s="54"/>
      <c r="D10" s="54"/>
      <c r="E10" s="54"/>
      <c r="F10" s="54"/>
      <c r="H10" s="11" t="s">
        <v>118</v>
      </c>
      <c r="K10" s="11" t="s">
        <v>119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>
      <c r="A11" s="78" t="s">
        <v>120</v>
      </c>
      <c r="B11" s="78" t="s">
        <v>121</v>
      </c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>
      <c r="A13" s="5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>
      <c r="A14" s="5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>
      <c r="G16" s="41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  <row r="998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</row>
    <row r="999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</row>
    <row r="1000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</row>
  </sheetData>
  <mergeCells count="7">
    <mergeCell ref="G1:L1"/>
    <mergeCell ref="H2:I5"/>
    <mergeCell ref="J2:K5"/>
    <mergeCell ref="G3:G8"/>
    <mergeCell ref="H6:I9"/>
    <mergeCell ref="J6:K9"/>
    <mergeCell ref="G16:N3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